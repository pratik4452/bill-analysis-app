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firstSheet="1"/>
  </bookViews>
  <sheets>
    <sheet name="Apr 26_Supreme" sheetId="9" r:id="rId1"/>
    <sheet name="Bill After Solar_Apr 26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<sst xmlns="http://schemas.openxmlformats.org/spreadsheetml/2006/main" count="174" uniqueCount="136">
  <si>
    <t>Sr. No.</t>
  </si>
  <si>
    <t>Particulars</t>
  </si>
  <si>
    <t>Value</t>
  </si>
  <si>
    <t>Units</t>
  </si>
  <si>
    <t>Technical</t>
  </si>
  <si>
    <t>a</t>
  </si>
  <si>
    <t>Capacity</t>
  </si>
  <si>
    <t>MW</t>
  </si>
  <si>
    <t>b</t>
  </si>
  <si>
    <t>Specific Generation</t>
  </si>
  <si>
    <t>kWh/kWp</t>
  </si>
  <si>
    <t>Commerical</t>
  </si>
  <si>
    <t xml:space="preserve">EPC Rate </t>
  </si>
  <si>
    <t>₹/kWp</t>
  </si>
  <si>
    <t>EPC Cost</t>
  </si>
  <si>
    <t>c</t>
  </si>
  <si>
    <t>Land Cost</t>
  </si>
  <si>
    <t>d</t>
  </si>
  <si>
    <t>Total Project Cost</t>
  </si>
  <si>
    <t>g</t>
  </si>
  <si>
    <t>O&amp;M rate</t>
  </si>
  <si>
    <t>/kWp/annum</t>
  </si>
  <si>
    <t>h</t>
  </si>
  <si>
    <t>O&amp;M Cost</t>
  </si>
  <si>
    <t>/annum</t>
  </si>
  <si>
    <t>Open Access Working</t>
  </si>
  <si>
    <t>Solar Generation Capacity</t>
  </si>
  <si>
    <t>kWp</t>
  </si>
  <si>
    <t>kW</t>
  </si>
  <si>
    <t>CUF</t>
  </si>
  <si>
    <t>Solar Supplied unit at Generation Bus Bar</t>
  </si>
  <si>
    <t>3.b</t>
  </si>
  <si>
    <t>Less: Wheeling Loss (7.50%)</t>
  </si>
  <si>
    <t>3.c</t>
  </si>
  <si>
    <t>Less: State Transmission Loss (3.28%)</t>
  </si>
  <si>
    <t>3.d</t>
  </si>
  <si>
    <t>Quantum at buyers periphery</t>
  </si>
  <si>
    <t>4.a</t>
  </si>
  <si>
    <t>Add: Wheeling Charge (0.74)</t>
  </si>
  <si>
    <t>4.b</t>
  </si>
  <si>
    <t>Add: State Transmission Charge (0.8771)</t>
  </si>
  <si>
    <t>4.c</t>
  </si>
  <si>
    <t>Add: Operating Charge</t>
  </si>
  <si>
    <t>Total Charges</t>
  </si>
  <si>
    <t>Consumption Details</t>
  </si>
  <si>
    <t>Month</t>
  </si>
  <si>
    <t>Contract Demand (kVA)</t>
  </si>
  <si>
    <t>Energy Charges (₹/kVAh)</t>
  </si>
  <si>
    <t>Demand Charges (₹/kVA)</t>
  </si>
  <si>
    <t>e</t>
  </si>
  <si>
    <t>Wheeling Charges (₹/kVAh)</t>
  </si>
  <si>
    <t>f</t>
  </si>
  <si>
    <t>FAC (₹/kVAh)</t>
  </si>
  <si>
    <t>Tax on Sales (₹/kVAh)</t>
  </si>
  <si>
    <t>Power Factor</t>
  </si>
  <si>
    <t>i</t>
  </si>
  <si>
    <t>Maximum Demand (kVA)</t>
  </si>
  <si>
    <t>j</t>
  </si>
  <si>
    <t>Electricity Duty</t>
  </si>
  <si>
    <t>Reference for TOD calculation of Solar Generation</t>
  </si>
  <si>
    <t>Zone A</t>
  </si>
  <si>
    <t>Zone B</t>
  </si>
  <si>
    <t>Zone C</t>
  </si>
  <si>
    <t>Zone D</t>
  </si>
  <si>
    <t>Total</t>
  </si>
  <si>
    <t>k</t>
  </si>
  <si>
    <t>Consumption Before Solar</t>
  </si>
  <si>
    <t>TOD Charges</t>
  </si>
  <si>
    <t>l</t>
  </si>
  <si>
    <t>Solar Units at consumption end</t>
  </si>
  <si>
    <t>TOD SOLAR Generation metre</t>
  </si>
  <si>
    <t>m</t>
  </si>
  <si>
    <t>Billed Consumption after Solar</t>
  </si>
  <si>
    <t>n</t>
  </si>
  <si>
    <t>TOD Rate</t>
  </si>
  <si>
    <t>Load Factor</t>
  </si>
  <si>
    <t>Load Factor Incentive</t>
  </si>
  <si>
    <t>Billed Demand</t>
  </si>
  <si>
    <t xml:space="preserve"> =166499+59393+13231+187009</t>
  </si>
  <si>
    <t>Bulk Consumption Slab</t>
  </si>
  <si>
    <t>(100000-1000000 kWh)</t>
  </si>
  <si>
    <t>(1000000 kWh - 5000000 kWh)</t>
  </si>
  <si>
    <t>(5000000 kWh +)</t>
  </si>
  <si>
    <t>Bulk Consumption Rebate</t>
  </si>
  <si>
    <t>Incremental Consumption Rebate</t>
  </si>
  <si>
    <t>Reference Units</t>
  </si>
  <si>
    <t>Before Solar</t>
  </si>
  <si>
    <t>After Solar - Captive</t>
  </si>
  <si>
    <t>Base month</t>
  </si>
  <si>
    <t>Source 1 - MSEDCL</t>
  </si>
  <si>
    <t>Source 2 - Solar Power Plant</t>
  </si>
  <si>
    <t>Total Consumption</t>
  </si>
  <si>
    <t>Computation of Electricity Bill based on consumption in Apr-26</t>
  </si>
  <si>
    <t>A</t>
  </si>
  <si>
    <t>Bill for MSEDCL Consumption</t>
  </si>
  <si>
    <t>Demand Charges</t>
  </si>
  <si>
    <t>ii</t>
  </si>
  <si>
    <t>Wheeling Charges</t>
  </si>
  <si>
    <t>iii</t>
  </si>
  <si>
    <t>Energy Charges</t>
  </si>
  <si>
    <t>iv</t>
  </si>
  <si>
    <t>TOD Tariff Energy Charges</t>
  </si>
  <si>
    <t>v</t>
  </si>
  <si>
    <t>FAC</t>
  </si>
  <si>
    <t>vi</t>
  </si>
  <si>
    <t>vii</t>
  </si>
  <si>
    <t>viii</t>
  </si>
  <si>
    <t>Tax on Sale</t>
  </si>
  <si>
    <t>ix</t>
  </si>
  <si>
    <t>x</t>
  </si>
  <si>
    <t>xi</t>
  </si>
  <si>
    <t>Charges for Excess Demand</t>
  </si>
  <si>
    <t>xii</t>
  </si>
  <si>
    <t>Tax Collection at Source</t>
  </si>
  <si>
    <t>xiii</t>
  </si>
  <si>
    <t>Debit Bill adjustment</t>
  </si>
  <si>
    <t>xiv</t>
  </si>
  <si>
    <t>Total Bill for MSEDCL Consumption</t>
  </si>
  <si>
    <t>B</t>
  </si>
  <si>
    <t>Bill for Open Access</t>
  </si>
  <si>
    <t>Transmission Charges</t>
  </si>
  <si>
    <t>Operating Charges</t>
  </si>
  <si>
    <t>Total Bill for Open Access</t>
  </si>
  <si>
    <t>C</t>
  </si>
  <si>
    <t>Total MSEDCL Bill</t>
  </si>
  <si>
    <t>D</t>
  </si>
  <si>
    <t>O&amp;M Cost per month</t>
  </si>
  <si>
    <t>Total Cost of power</t>
  </si>
  <si>
    <t>F</t>
  </si>
  <si>
    <t>Net Savings</t>
  </si>
  <si>
    <t>G</t>
  </si>
  <si>
    <t>Simple Payback ( Capex Cost / Monthly Savings)</t>
  </si>
  <si>
    <t>Average Cost of Power</t>
  </si>
  <si>
    <t>E</t>
  </si>
  <si>
    <t>Total Savings</t>
  </si>
  <si>
    <t>% Savings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</si>
</sst>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0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&quot;₹&quot;\ * #,##0.00_ ;_ &quot;₹&quot;\ * \-#,##0.00_ ;_ &quot;₹&quot;\ * &quot;-&quot;??_ ;_ @_ "/>
    <numFmt numFmtId="181" formatCode="mmm/yy"/>
    <numFmt numFmtId="182" formatCode="_ * #,##0_ ;_ * \-#,##0_ ;_ * &quot;-&quot;??_ ;_ @_ "/>
    <numFmt numFmtId="183" formatCode="0.0%"/>
    <numFmt numFmtId="184" formatCode="_ &quot;₹&quot;\ * #,##0.0000_ ;_ &quot;₹&quot;\ * \-#,##0.0000_ ;_ &quot;₹&quot;\ * &quot;-&quot;??.00_ ;_ @_ "/>
    <numFmt numFmtId="185" formatCode="_ [$₹-4009]\ * #,##0.00_ ;_ [$₹-4009]\ * \-#,##0.00_ ;_ [$₹-4009]\ * &quot;-&quot;??_ ;_ @_ "/>
    <numFmt numFmtId="186" formatCode="&quot;₹&quot;\ #,##0;[Red]&quot;₹&quot;\ \-#,##0"/>
    <numFmt numFmtId="187" formatCode="_ &quot;₹&quot;\ * #,##0_ ;_ &quot;₹&quot;\ * \-#,##0_ ;_ &quot;₹&quot;\ * &quot;-&quot;??_ ;_ @_ "/>
    <numFmt numFmtId="188" formatCode="_ * #,##0.00000_ ;_ * \-#,##0.00000_ ;_ * &quot;-&quot;??.00000_ ;_ @_ "/>
    <numFmt numFmtId="189" formatCode="&quot;₹&quot;\ #,##0"/>
    <numFmt numFmtId="190" formatCode="&quot;₹&quot;\ #,##0.00"/>
    <numFmt numFmtId="191" formatCode="&quot;₹&quot;\ #,##0.0000"/>
    <numFmt numFmtId="192" formatCode="_ * #,##0.000_ ;_ * \-#,##0.000_ ;_ * &quot;-&quot;??.000_ ;_ @_ "/>
    <numFmt numFmtId="193" formatCode="_ * #,##0.00_ ;_ * \-#,##0.00_ ;_ * &quot;-&quot;??.00_ ;_ @_ "/>
    <numFmt numFmtId="194" formatCode="_ * #,##0.0_ ;_ * \-#,##0.0_ ;_ * &quot;-&quot;??.0_ ;_ @_ "/>
    <numFmt numFmtId="195" formatCode="0_ "/>
  </numFmts>
  <fonts count="30">
    <font>
      <sz val="11"/>
      <color theme="1"/>
      <name val="Calibri"/>
      <charset val="134"/>
      <scheme val="minor"/>
    </font>
    <font>
      <b/>
      <sz val="10"/>
      <color theme="1"/>
      <name val="Segoe UI"/>
      <charset val="134"/>
    </font>
    <font>
      <sz val="10"/>
      <color theme="1"/>
      <name val="Segoe UI"/>
      <charset val="134"/>
    </font>
    <font>
      <sz val="10"/>
      <color rgb="FFFF0000"/>
      <name val="Segoe UI"/>
      <charset val="134"/>
    </font>
    <font>
      <sz val="11"/>
      <name val="Segoe UI"/>
      <charset val="134"/>
    </font>
    <font>
      <b/>
      <sz val="11"/>
      <color theme="0"/>
      <name val="Segoe UI"/>
      <charset val="134"/>
    </font>
    <font>
      <sz val="11"/>
      <color theme="1"/>
      <name val="Segoe UI"/>
      <charset val="134"/>
    </font>
    <font>
      <b/>
      <sz val="11"/>
      <name val="Segoe UI"/>
      <charset val="134"/>
    </font>
    <font>
      <sz val="10"/>
      <name val="Segoe UI"/>
      <charset val="134"/>
    </font>
    <font>
      <b/>
      <sz val="10"/>
      <color rgb="FFFF0000"/>
      <name val="Segoe UI"/>
      <charset val="134"/>
    </font>
    <font>
      <sz val="6"/>
      <color rgb="FF000000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2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3" borderId="14" applyNumberFormat="0" applyAlignment="0" applyProtection="0">
      <alignment vertical="center"/>
    </xf>
    <xf numFmtId="0" fontId="20" fillId="14" borderId="15" applyNumberFormat="0" applyAlignment="0" applyProtection="0">
      <alignment vertical="center"/>
    </xf>
    <xf numFmtId="0" fontId="21" fillId="14" borderId="14" applyNumberFormat="0" applyAlignment="0" applyProtection="0">
      <alignment vertical="center"/>
    </xf>
    <xf numFmtId="0" fontId="22" fillId="15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</cellStyleXfs>
  <cellXfs count="12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81" fontId="1" fillId="2" borderId="1" xfId="0" applyNumberFormat="1" applyFont="1" applyFill="1" applyBorder="1" applyAlignment="1">
      <alignment vertical="center"/>
    </xf>
    <xf numFmtId="181" fontId="1" fillId="3" borderId="1" xfId="0" applyNumberFormat="1" applyFont="1" applyFill="1" applyBorder="1" applyAlignment="1">
      <alignment vertical="center"/>
    </xf>
    <xf numFmtId="182" fontId="1" fillId="2" borderId="1" xfId="50" applyNumberFormat="1" applyFont="1" applyFill="1" applyBorder="1" applyAlignment="1">
      <alignment vertical="center"/>
    </xf>
    <xf numFmtId="182" fontId="1" fillId="3" borderId="1" xfId="50" applyNumberFormat="1" applyFont="1" applyFill="1" applyBorder="1" applyAlignment="1">
      <alignment vertical="center"/>
    </xf>
    <xf numFmtId="182" fontId="2" fillId="2" borderId="1" xfId="50" applyNumberFormat="1" applyFont="1" applyFill="1" applyBorder="1" applyAlignment="1">
      <alignment vertical="center"/>
    </xf>
    <xf numFmtId="182" fontId="2" fillId="3" borderId="1" xfId="50" applyNumberFormat="1" applyFont="1" applyFill="1" applyBorder="1" applyAlignment="1">
      <alignment vertical="center"/>
    </xf>
    <xf numFmtId="183" fontId="2" fillId="2" borderId="1" xfId="56" applyNumberFormat="1" applyFont="1" applyFill="1" applyBorder="1" applyAlignment="1">
      <alignment vertical="center"/>
    </xf>
    <xf numFmtId="180" fontId="2" fillId="0" borderId="0" xfId="0" applyNumberFormat="1" applyFont="1" applyAlignment="1">
      <alignment vertical="center"/>
    </xf>
    <xf numFmtId="0" fontId="1" fillId="4" borderId="1" xfId="0" applyFont="1" applyFill="1" applyBorder="1" applyAlignment="1">
      <alignment vertical="center"/>
    </xf>
    <xf numFmtId="183" fontId="2" fillId="3" borderId="1" xfId="56" applyNumberFormat="1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180" fontId="2" fillId="2" borderId="1" xfId="52" applyFont="1" applyFill="1" applyBorder="1" applyAlignment="1">
      <alignment vertical="center"/>
    </xf>
    <xf numFmtId="180" fontId="2" fillId="3" borderId="1" xfId="52" applyFont="1" applyFill="1" applyBorder="1" applyAlignment="1">
      <alignment vertical="center"/>
    </xf>
    <xf numFmtId="182" fontId="2" fillId="0" borderId="0" xfId="0" applyNumberFormat="1" applyFont="1" applyAlignment="1">
      <alignment vertical="center"/>
    </xf>
    <xf numFmtId="180" fontId="2" fillId="5" borderId="1" xfId="52" applyFont="1" applyFill="1" applyBorder="1" applyAlignment="1">
      <alignment vertical="center"/>
    </xf>
    <xf numFmtId="180" fontId="2" fillId="6" borderId="1" xfId="52" applyFont="1" applyFill="1" applyBorder="1" applyAlignment="1">
      <alignment vertical="center"/>
    </xf>
    <xf numFmtId="180" fontId="3" fillId="5" borderId="1" xfId="52" applyFont="1" applyFill="1" applyBorder="1" applyAlignment="1">
      <alignment vertical="center"/>
    </xf>
    <xf numFmtId="180" fontId="3" fillId="2" borderId="1" xfId="52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180" fontId="1" fillId="2" borderId="1" xfId="52" applyFont="1" applyFill="1" applyBorder="1" applyAlignment="1">
      <alignment vertical="center"/>
    </xf>
    <xf numFmtId="180" fontId="1" fillId="5" borderId="1" xfId="52" applyFont="1" applyFill="1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180" fontId="1" fillId="3" borderId="1" xfId="52" applyFont="1" applyFill="1" applyBorder="1" applyAlignment="1">
      <alignment vertical="center"/>
    </xf>
    <xf numFmtId="180" fontId="2" fillId="2" borderId="1" xfId="0" applyNumberFormat="1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180" fontId="1" fillId="2" borderId="2" xfId="52" applyFont="1" applyFill="1" applyBorder="1" applyAlignment="1">
      <alignment vertical="center"/>
    </xf>
    <xf numFmtId="180" fontId="1" fillId="3" borderId="2" xfId="52" applyFont="1" applyFill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7" borderId="4" xfId="0" applyFont="1" applyFill="1" applyBorder="1" applyAlignment="1">
      <alignment vertical="center"/>
    </xf>
    <xf numFmtId="180" fontId="1" fillId="7" borderId="5" xfId="52" applyFont="1" applyFill="1" applyBorder="1" applyAlignment="1">
      <alignment vertical="center"/>
    </xf>
    <xf numFmtId="180" fontId="1" fillId="7" borderId="6" xfId="52" applyFont="1" applyFill="1" applyBorder="1" applyAlignment="1">
      <alignment vertical="center"/>
    </xf>
    <xf numFmtId="184" fontId="2" fillId="0" borderId="0" xfId="0" applyNumberFormat="1" applyFont="1" applyAlignment="1">
      <alignment vertical="center"/>
    </xf>
    <xf numFmtId="0" fontId="1" fillId="7" borderId="7" xfId="0" applyFont="1" applyFill="1" applyBorder="1" applyAlignment="1">
      <alignment vertical="center"/>
    </xf>
    <xf numFmtId="180" fontId="2" fillId="7" borderId="8" xfId="0" applyNumberFormat="1" applyFont="1" applyFill="1" applyBorder="1" applyAlignment="1">
      <alignment vertical="center"/>
    </xf>
    <xf numFmtId="10" fontId="1" fillId="7" borderId="9" xfId="3" applyNumberFormat="1" applyFont="1" applyFill="1" applyBorder="1" applyAlignment="1">
      <alignment vertical="center"/>
    </xf>
    <xf numFmtId="183" fontId="2" fillId="0" borderId="0" xfId="3" applyNumberFormat="1" applyFont="1" applyAlignment="1">
      <alignment vertical="center"/>
    </xf>
    <xf numFmtId="0" fontId="4" fillId="0" borderId="0" xfId="0" applyFont="1"/>
    <xf numFmtId="185" fontId="4" fillId="0" borderId="0" xfId="0" applyNumberFormat="1" applyFont="1"/>
    <xf numFmtId="0" fontId="5" fillId="8" borderId="0" xfId="0" applyFont="1" applyFill="1"/>
    <xf numFmtId="0" fontId="5" fillId="8" borderId="1" xfId="0" applyFont="1" applyFill="1" applyBorder="1" applyAlignment="1">
      <alignment horizontal="center" vertical="center"/>
    </xf>
    <xf numFmtId="0" fontId="6" fillId="0" borderId="0" xfId="0" applyFont="1"/>
    <xf numFmtId="0" fontId="7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wrapText="1"/>
    </xf>
    <xf numFmtId="185" fontId="4" fillId="0" borderId="0" xfId="0" applyNumberFormat="1" applyFont="1" applyAlignment="1">
      <alignment wrapText="1"/>
    </xf>
    <xf numFmtId="186" fontId="4" fillId="4" borderId="1" xfId="0" applyNumberFormat="1" applyFont="1" applyFill="1" applyBorder="1" applyAlignment="1" applyProtection="1">
      <alignment horizontal="center" vertical="center"/>
      <protection locked="0"/>
    </xf>
    <xf numFmtId="186" fontId="4" fillId="4" borderId="1" xfId="0" applyNumberFormat="1" applyFont="1" applyFill="1" applyBorder="1" applyAlignment="1">
      <alignment horizontal="center" vertical="center"/>
    </xf>
    <xf numFmtId="186" fontId="4" fillId="0" borderId="1" xfId="0" applyNumberFormat="1" applyFont="1" applyBorder="1"/>
    <xf numFmtId="186" fontId="4" fillId="0" borderId="0" xfId="0" applyNumberFormat="1" applyFont="1"/>
    <xf numFmtId="0" fontId="7" fillId="0" borderId="0" xfId="0" applyFont="1"/>
    <xf numFmtId="187" fontId="4" fillId="4" borderId="1" xfId="52" applyNumberFormat="1" applyFont="1" applyFill="1" applyBorder="1" applyProtection="1">
      <protection locked="0"/>
    </xf>
    <xf numFmtId="187" fontId="4" fillId="4" borderId="1" xfId="52" applyNumberFormat="1" applyFont="1" applyFill="1" applyBorder="1" applyProtection="1"/>
    <xf numFmtId="187" fontId="4" fillId="0" borderId="1" xfId="52" applyNumberFormat="1" applyFont="1" applyFill="1" applyBorder="1" applyProtection="1"/>
    <xf numFmtId="0" fontId="8" fillId="0" borderId="1" xfId="54" applyFont="1" applyBorder="1" applyAlignment="1">
      <alignment horizontal="center" vertical="center"/>
    </xf>
    <xf numFmtId="0" fontId="8" fillId="0" borderId="1" xfId="54" applyFont="1" applyBorder="1" applyAlignment="1">
      <alignment vertical="center" wrapText="1"/>
    </xf>
    <xf numFmtId="0" fontId="4" fillId="9" borderId="1" xfId="0" applyFont="1" applyFill="1" applyBorder="1" applyAlignment="1" applyProtection="1">
      <alignment horizontal="center" vertical="center"/>
      <protection locked="0"/>
    </xf>
    <xf numFmtId="1" fontId="8" fillId="0" borderId="1" xfId="54" applyNumberFormat="1" applyFont="1" applyBorder="1" applyAlignment="1">
      <alignment horizontal="center" vertical="center" wrapText="1"/>
    </xf>
    <xf numFmtId="10" fontId="8" fillId="9" borderId="1" xfId="56" applyNumberFormat="1" applyFont="1" applyFill="1" applyBorder="1" applyAlignment="1" applyProtection="1">
      <alignment horizontal="center" vertical="center" wrapText="1"/>
    </xf>
    <xf numFmtId="0" fontId="8" fillId="0" borderId="1" xfId="54" applyFont="1" applyBorder="1" applyAlignment="1">
      <alignment horizontal="left" vertical="center" wrapText="1"/>
    </xf>
    <xf numFmtId="182" fontId="8" fillId="9" borderId="1" xfId="50" applyNumberFormat="1" applyFont="1" applyFill="1" applyBorder="1" applyAlignment="1" applyProtection="1">
      <alignment horizontal="center" vertical="center" wrapText="1"/>
    </xf>
    <xf numFmtId="176" fontId="4" fillId="0" borderId="0" xfId="0" applyNumberFormat="1" applyFont="1"/>
    <xf numFmtId="187" fontId="8" fillId="10" borderId="1" xfId="52" applyNumberFormat="1" applyFont="1" applyFill="1" applyBorder="1" applyAlignment="1" applyProtection="1">
      <alignment horizontal="center" vertical="center" wrapText="1"/>
    </xf>
    <xf numFmtId="188" fontId="4" fillId="0" borderId="0" xfId="0" applyNumberFormat="1" applyFont="1"/>
    <xf numFmtId="182" fontId="4" fillId="0" borderId="0" xfId="0" applyNumberFormat="1" applyFont="1"/>
    <xf numFmtId="187" fontId="8" fillId="9" borderId="1" xfId="52" applyNumberFormat="1" applyFont="1" applyFill="1" applyBorder="1" applyAlignment="1" applyProtection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vertical="center"/>
    </xf>
    <xf numFmtId="181" fontId="1" fillId="10" borderId="1" xfId="0" applyNumberFormat="1" applyFont="1" applyFill="1" applyBorder="1" applyAlignment="1">
      <alignment horizontal="center" vertical="center"/>
    </xf>
    <xf numFmtId="189" fontId="2" fillId="10" borderId="1" xfId="52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Alignment="1">
      <alignment vertical="center"/>
    </xf>
    <xf numFmtId="190" fontId="2" fillId="10" borderId="1" xfId="52" applyNumberFormat="1" applyFont="1" applyFill="1" applyBorder="1" applyAlignment="1" applyProtection="1">
      <alignment horizontal="center" vertical="center"/>
      <protection locked="0"/>
    </xf>
    <xf numFmtId="190" fontId="2" fillId="0" borderId="0" xfId="0" applyNumberFormat="1" applyFont="1" applyFill="1" applyAlignment="1">
      <alignment vertical="center"/>
    </xf>
    <xf numFmtId="190" fontId="2" fillId="0" borderId="0" xfId="0" applyNumberFormat="1" applyFont="1" applyAlignment="1">
      <alignment vertical="center"/>
    </xf>
    <xf numFmtId="0" fontId="2" fillId="10" borderId="1" xfId="0" applyFont="1" applyFill="1" applyBorder="1" applyAlignment="1" applyProtection="1">
      <alignment horizontal="center" vertical="center"/>
      <protection locked="0"/>
    </xf>
    <xf numFmtId="10" fontId="2" fillId="10" borderId="1" xfId="56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Alignment="1">
      <alignment horizontal="center" vertical="center"/>
    </xf>
    <xf numFmtId="191" fontId="2" fillId="0" borderId="0" xfId="0" applyNumberFormat="1" applyFont="1" applyAlignment="1">
      <alignment vertical="center"/>
    </xf>
    <xf numFmtId="192" fontId="2" fillId="0" borderId="0" xfId="0" applyNumberFormat="1" applyFont="1" applyAlignment="1">
      <alignment vertical="center"/>
    </xf>
    <xf numFmtId="182" fontId="2" fillId="0" borderId="1" xfId="50" applyNumberFormat="1" applyFont="1" applyFill="1" applyBorder="1" applyAlignment="1" applyProtection="1">
      <alignment horizontal="center" vertical="center"/>
    </xf>
    <xf numFmtId="182" fontId="2" fillId="9" borderId="1" xfId="50" applyNumberFormat="1" applyFont="1" applyFill="1" applyBorder="1" applyAlignment="1" applyProtection="1">
      <alignment horizontal="center" vertical="center"/>
    </xf>
    <xf numFmtId="182" fontId="9" fillId="0" borderId="1" xfId="50" applyNumberFormat="1" applyFont="1" applyFill="1" applyBorder="1" applyAlignment="1" applyProtection="1">
      <alignment horizontal="center" vertical="center"/>
    </xf>
    <xf numFmtId="176" fontId="2" fillId="0" borderId="0" xfId="0" applyNumberFormat="1" applyFont="1" applyAlignment="1">
      <alignment vertical="center"/>
    </xf>
    <xf numFmtId="182" fontId="1" fillId="0" borderId="0" xfId="0" applyNumberFormat="1" applyFont="1" applyBorder="1" applyAlignment="1">
      <alignment horizontal="center" vertical="center"/>
    </xf>
    <xf numFmtId="0" fontId="2" fillId="10" borderId="0" xfId="0" applyFont="1" applyFill="1" applyAlignment="1">
      <alignment vertical="center"/>
    </xf>
    <xf numFmtId="182" fontId="2" fillId="0" borderId="1" xfId="50" applyNumberFormat="1" applyFont="1" applyFill="1" applyBorder="1" applyAlignment="1" applyProtection="1">
      <alignment horizontal="center" vertical="center"/>
    </xf>
    <xf numFmtId="182" fontId="2" fillId="10" borderId="1" xfId="50" applyNumberFormat="1" applyFont="1" applyFill="1" applyBorder="1" applyAlignment="1" applyProtection="1">
      <alignment horizontal="center" vertical="center"/>
    </xf>
    <xf numFmtId="182" fontId="9" fillId="10" borderId="1" xfId="50" applyNumberFormat="1" applyFont="1" applyFill="1" applyBorder="1" applyAlignment="1" applyProtection="1">
      <alignment horizontal="center" vertical="center"/>
    </xf>
    <xf numFmtId="190" fontId="2" fillId="0" borderId="1" xfId="52" applyNumberFormat="1" applyFont="1" applyFill="1" applyBorder="1" applyAlignment="1" applyProtection="1">
      <alignment horizontal="center" vertical="center"/>
    </xf>
    <xf numFmtId="193" fontId="2" fillId="9" borderId="1" xfId="50" applyNumberFormat="1" applyFont="1" applyFill="1" applyBorder="1" applyAlignment="1" applyProtection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9" fontId="2" fillId="0" borderId="0" xfId="3" applyNumberFormat="1" applyFont="1" applyAlignment="1">
      <alignment vertical="center"/>
    </xf>
    <xf numFmtId="9" fontId="2" fillId="0" borderId="0" xfId="3" applyFont="1" applyAlignment="1">
      <alignment vertical="center"/>
    </xf>
    <xf numFmtId="183" fontId="2" fillId="0" borderId="1" xfId="56" applyNumberFormat="1" applyFont="1" applyFill="1" applyBorder="1" applyAlignment="1" applyProtection="1">
      <alignment horizontal="center" vertical="center"/>
    </xf>
    <xf numFmtId="189" fontId="2" fillId="0" borderId="0" xfId="0" applyNumberFormat="1" applyFont="1" applyAlignment="1">
      <alignment vertical="center"/>
    </xf>
    <xf numFmtId="193" fontId="2" fillId="0" borderId="0" xfId="0" applyNumberFormat="1" applyFont="1" applyAlignment="1">
      <alignment vertical="center"/>
    </xf>
    <xf numFmtId="194" fontId="2" fillId="0" borderId="0" xfId="0" applyNumberFormat="1" applyFont="1" applyAlignment="1">
      <alignment vertical="center"/>
    </xf>
    <xf numFmtId="0" fontId="2" fillId="10" borderId="1" xfId="0" applyFont="1" applyFill="1" applyBorder="1" applyAlignment="1">
      <alignment horizontal="center" vertical="center"/>
    </xf>
    <xf numFmtId="195" fontId="2" fillId="0" borderId="0" xfId="0" applyNumberFormat="1" applyFont="1" applyAlignment="1">
      <alignment vertical="center"/>
    </xf>
    <xf numFmtId="0" fontId="10" fillId="0" borderId="0" xfId="0" applyFont="1"/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0" xfId="3" applyNumberFormat="1" applyFont="1" applyAlignment="1">
      <alignment vertical="center"/>
    </xf>
    <xf numFmtId="0" fontId="1" fillId="0" borderId="0" xfId="0" applyFont="1" applyBorder="1" applyAlignment="1">
      <alignment horizontal="center" vertical="center"/>
    </xf>
    <xf numFmtId="182" fontId="2" fillId="0" borderId="0" xfId="5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vertical="center"/>
    </xf>
    <xf numFmtId="190" fontId="2" fillId="0" borderId="0" xfId="52" applyNumberFormat="1" applyFont="1" applyFill="1" applyBorder="1" applyAlignment="1" applyProtection="1">
      <alignment horizontal="center" vertical="center"/>
    </xf>
    <xf numFmtId="9" fontId="2" fillId="0" borderId="0" xfId="3" applyFont="1" applyBorder="1" applyAlignment="1">
      <alignment vertical="center"/>
    </xf>
    <xf numFmtId="9" fontId="2" fillId="0" borderId="0" xfId="3" applyNumberFormat="1" applyFont="1" applyBorder="1" applyAlignment="1">
      <alignment vertical="center"/>
    </xf>
    <xf numFmtId="183" fontId="2" fillId="0" borderId="0" xfId="56" applyNumberFormat="1" applyFont="1" applyAlignment="1" applyProtection="1">
      <alignment horizontal="center" vertical="center"/>
    </xf>
    <xf numFmtId="0" fontId="4" fillId="10" borderId="0" xfId="0" applyFont="1" applyFill="1"/>
  </cellXfs>
  <cellStyles count="5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Comma 3" xfId="51"/>
    <cellStyle name="Currency 2" xfId="52"/>
    <cellStyle name="Normal 2" xfId="53"/>
    <cellStyle name="Normal 2 2" xfId="54"/>
    <cellStyle name="Percent 2" xfId="55"/>
    <cellStyle name="Percent 2 2" xfId="56"/>
    <cellStyle name="Percent 3" xfId="5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5"/>
  <sheetViews>
    <sheetView tabSelected="1" zoomScale="90" zoomScaleNormal="90" topLeftCell="A14" workbookViewId="0">
      <selection activeCell="G25" sqref="G25"/>
    </sheetView>
  </sheetViews>
  <sheetFormatPr defaultColWidth="9.09090909090909" defaultRowHeight="16.5"/>
  <cols>
    <col min="1" max="1" width="7.45454545454545" style="48" customWidth="1"/>
    <col min="2" max="2" width="42.4545454545455" style="48" customWidth="1"/>
    <col min="3" max="3" width="13.7272727272727" style="48" customWidth="1"/>
    <col min="4" max="4" width="12.5454545454545" style="48" customWidth="1"/>
    <col min="5" max="5" width="15.4272727272727" style="48" customWidth="1"/>
    <col min="6" max="6" width="12.4272727272727" style="48" customWidth="1"/>
    <col min="7" max="7" width="12.2818181818182" style="48" customWidth="1"/>
    <col min="8" max="8" width="12.8545454545455" style="48" customWidth="1"/>
    <col min="9" max="9" width="11.7181818181818" style="49" customWidth="1"/>
    <col min="10" max="10" width="12.5727272727273" style="48" customWidth="1"/>
    <col min="11" max="11" width="13.4545454545455" style="48" customWidth="1"/>
    <col min="12" max="12" width="13.8181818181818" style="48" customWidth="1"/>
    <col min="13" max="13" width="14.6363636363636" style="48" customWidth="1"/>
    <col min="14" max="14" width="11.9090909090909" style="48" customWidth="1"/>
    <col min="15" max="15" width="11.2818181818182" style="48" customWidth="1"/>
    <col min="16" max="16" width="7.14545454545455" style="48" customWidth="1"/>
    <col min="17" max="17" width="6" style="48" customWidth="1"/>
    <col min="18" max="18" width="5.42727272727273" style="48" customWidth="1"/>
    <col min="19" max="19" width="6" style="48" customWidth="1"/>
    <col min="20" max="20" width="7.71818181818182" style="48" customWidth="1"/>
    <col min="21" max="21" width="5.14545454545455" style="48" customWidth="1"/>
    <col min="22" max="23" width="6.14545454545455" style="48" customWidth="1"/>
    <col min="24" max="24" width="8.71818181818182" style="48" customWidth="1"/>
    <col min="25" max="27" width="3.09090909090909" style="48" customWidth="1"/>
    <col min="28" max="16384" width="9.09090909090909" style="48"/>
  </cols>
  <sheetData>
    <row r="1" hidden="1" spans="1:29">
      <c r="A1" s="50" t="s">
        <v>0</v>
      </c>
      <c r="B1" s="51" t="s">
        <v>1</v>
      </c>
      <c r="C1" s="51" t="s">
        <v>2</v>
      </c>
      <c r="D1" s="51" t="s">
        <v>3</v>
      </c>
      <c r="F1" s="52"/>
      <c r="G1" s="52"/>
      <c r="H1" s="52"/>
      <c r="I1" s="52"/>
      <c r="J1" s="52"/>
      <c r="K1" s="52"/>
      <c r="L1" s="52"/>
      <c r="M1" s="52"/>
    </row>
    <row r="2" hidden="1" spans="1:29">
      <c r="A2" s="53">
        <v>1</v>
      </c>
      <c r="B2" s="53" t="s">
        <v>4</v>
      </c>
      <c r="C2" s="53"/>
      <c r="D2" s="53"/>
      <c r="F2" s="52"/>
      <c r="G2" s="52"/>
      <c r="H2" s="52"/>
      <c r="I2" s="52"/>
      <c r="J2" s="52"/>
      <c r="K2" s="52"/>
      <c r="L2" s="52"/>
      <c r="M2" s="52"/>
    </row>
    <row r="3" hidden="1" spans="1:29">
      <c r="A3" s="54" t="s">
        <v>5</v>
      </c>
      <c r="B3" s="55" t="s">
        <v>6</v>
      </c>
      <c r="C3" s="56">
        <v>2600</v>
      </c>
      <c r="D3" s="55" t="s">
        <v>7</v>
      </c>
      <c r="F3" s="52"/>
      <c r="G3" s="52"/>
      <c r="H3" s="52"/>
      <c r="I3" s="52"/>
      <c r="J3" s="52"/>
      <c r="K3" s="52"/>
      <c r="L3" s="52"/>
      <c r="M3" s="52"/>
      <c r="AB3" s="57"/>
      <c r="AC3" s="58"/>
    </row>
    <row r="4" hidden="1" spans="1:29">
      <c r="A4" s="54" t="s">
        <v>8</v>
      </c>
      <c r="B4" s="55" t="s">
        <v>9</v>
      </c>
      <c r="C4" s="56">
        <v>1550</v>
      </c>
      <c r="D4" s="55" t="s">
        <v>10</v>
      </c>
      <c r="AC4" s="49"/>
    </row>
    <row r="5" hidden="1" spans="1:29">
      <c r="A5" s="54"/>
      <c r="B5" s="55"/>
      <c r="C5" s="54"/>
      <c r="D5" s="55"/>
      <c r="AC5" s="49"/>
    </row>
    <row r="6" hidden="1" spans="1:29">
      <c r="A6" s="53">
        <v>2</v>
      </c>
      <c r="B6" s="53" t="s">
        <v>11</v>
      </c>
      <c r="C6" s="53"/>
      <c r="D6" s="53"/>
      <c r="E6" s="52"/>
      <c r="F6" s="52"/>
      <c r="G6" s="52"/>
      <c r="AC6" s="49"/>
    </row>
    <row r="7" hidden="1" spans="1:29">
      <c r="A7" s="54" t="s">
        <v>5</v>
      </c>
      <c r="B7" s="55" t="s">
        <v>12</v>
      </c>
      <c r="C7" s="59">
        <v>33000</v>
      </c>
      <c r="D7" s="55" t="s">
        <v>13</v>
      </c>
      <c r="AC7" s="49"/>
    </row>
    <row r="8" hidden="1" spans="1:29">
      <c r="A8" s="54" t="s">
        <v>8</v>
      </c>
      <c r="B8" s="55" t="s">
        <v>14</v>
      </c>
      <c r="C8" s="60">
        <f>C7*C3</f>
        <v>85800000</v>
      </c>
      <c r="D8" s="61"/>
      <c r="E8" s="62"/>
      <c r="AC8" s="49"/>
    </row>
    <row r="9" hidden="1" spans="1:29">
      <c r="A9" s="54" t="s">
        <v>15</v>
      </c>
      <c r="B9" s="55" t="s">
        <v>16</v>
      </c>
      <c r="C9" s="59">
        <f>C3*3*650000/1000</f>
        <v>5070000</v>
      </c>
      <c r="D9" s="55"/>
      <c r="AC9" s="49"/>
    </row>
    <row r="10" hidden="1" spans="1:29">
      <c r="A10" s="54" t="s">
        <v>17</v>
      </c>
      <c r="B10" s="55" t="s">
        <v>18</v>
      </c>
      <c r="C10" s="60">
        <f>(C7*C3)+C9</f>
        <v>90870000</v>
      </c>
      <c r="D10" s="61"/>
      <c r="E10" s="63"/>
      <c r="F10" s="63"/>
      <c r="AC10" s="49"/>
    </row>
    <row r="11" hidden="1" spans="1:29">
      <c r="A11" s="54" t="s">
        <v>19</v>
      </c>
      <c r="B11" s="55" t="s">
        <v>20</v>
      </c>
      <c r="C11" s="64">
        <v>650</v>
      </c>
      <c r="D11" s="55" t="s">
        <v>21</v>
      </c>
    </row>
    <row r="12" hidden="1" spans="1:29">
      <c r="A12" s="54" t="s">
        <v>22</v>
      </c>
      <c r="B12" s="55" t="s">
        <v>23</v>
      </c>
      <c r="C12" s="65">
        <f>C11*C3</f>
        <v>1690000</v>
      </c>
      <c r="D12" s="55" t="s">
        <v>24</v>
      </c>
    </row>
    <row r="13" hidden="1" spans="1:29">
      <c r="A13" s="54"/>
      <c r="B13" s="55"/>
      <c r="C13" s="66"/>
      <c r="D13" s="55"/>
    </row>
    <row r="14" spans="1:29">
      <c r="A14" s="53">
        <v>2</v>
      </c>
      <c r="B14" s="53" t="s">
        <v>25</v>
      </c>
      <c r="C14" s="53"/>
      <c r="D14" s="53"/>
    </row>
    <row r="15" spans="1:29">
      <c r="A15" s="67">
        <v>1</v>
      </c>
      <c r="B15" s="68" t="s">
        <v>26</v>
      </c>
      <c r="C15" s="69">
        <v>4499.83</v>
      </c>
      <c r="D15" s="48" t="s">
        <v>27</v>
      </c>
    </row>
    <row r="16" spans="1:29">
      <c r="A16" s="67"/>
      <c r="B16" s="68" t="s">
        <v>26</v>
      </c>
      <c r="C16" s="70">
        <v>3300</v>
      </c>
      <c r="D16" s="48" t="s">
        <v>28</v>
      </c>
    </row>
    <row r="17" spans="1:8">
      <c r="A17" s="67">
        <v>2</v>
      </c>
      <c r="B17" s="68" t="s">
        <v>29</v>
      </c>
      <c r="C17" s="71">
        <f>C4/8760</f>
        <v>0.176940639269406</v>
      </c>
    </row>
    <row r="18" spans="1:8">
      <c r="A18" s="67">
        <v>3</v>
      </c>
      <c r="B18" s="72" t="s">
        <v>30</v>
      </c>
      <c r="C18" s="73">
        <f>G40</f>
        <v>237415</v>
      </c>
    </row>
    <row r="19" spans="1:8">
      <c r="A19" s="67" t="s">
        <v>31</v>
      </c>
      <c r="B19" s="72" t="s">
        <v>32</v>
      </c>
      <c r="C19" s="73">
        <f>C18*0.075</f>
        <v>17806.125</v>
      </c>
    </row>
    <row r="20" spans="1:8">
      <c r="A20" s="67" t="s">
        <v>33</v>
      </c>
      <c r="B20" s="72" t="s">
        <v>34</v>
      </c>
      <c r="C20" s="73">
        <f>(C18-C19)*3.28%</f>
        <v>7203.1711</v>
      </c>
    </row>
    <row r="21" spans="1:8">
      <c r="A21" s="67" t="s">
        <v>35</v>
      </c>
      <c r="B21" s="72" t="s">
        <v>36</v>
      </c>
      <c r="C21" s="73">
        <f>C18-C19-C20</f>
        <v>212405.7039</v>
      </c>
      <c r="D21" s="74"/>
    </row>
    <row r="22" spans="1:8">
      <c r="A22" s="67" t="s">
        <v>37</v>
      </c>
      <c r="B22" s="72" t="s">
        <v>38</v>
      </c>
      <c r="C22" s="75">
        <f>G40*0.81</f>
        <v>192306.15</v>
      </c>
    </row>
    <row r="23" spans="1:8">
      <c r="A23" s="67" t="s">
        <v>39</v>
      </c>
      <c r="B23" s="72" t="s">
        <v>40</v>
      </c>
      <c r="C23" s="75">
        <v>242163.3</v>
      </c>
      <c r="D23" s="76"/>
      <c r="E23" s="77"/>
    </row>
    <row r="24" spans="1:8">
      <c r="A24" s="67" t="s">
        <v>41</v>
      </c>
      <c r="B24" s="72" t="s">
        <v>42</v>
      </c>
      <c r="C24" s="75">
        <f>IF(C16&lt;5000,16500,29830)</f>
        <v>16500</v>
      </c>
    </row>
    <row r="25" spans="1:8">
      <c r="A25" s="67">
        <v>5</v>
      </c>
      <c r="B25" s="68" t="s">
        <v>43</v>
      </c>
      <c r="C25" s="78">
        <f>SUM(C22:C24)</f>
        <v>450969.45</v>
      </c>
    </row>
    <row r="27" s="3" customFormat="1" ht="16" spans="1:8">
      <c r="A27" s="79">
        <v>4</v>
      </c>
      <c r="B27" s="80" t="s">
        <v>44</v>
      </c>
      <c r="C27" s="79"/>
    </row>
    <row r="28" s="3" customFormat="1" ht="16" spans="1:8">
      <c r="A28" s="10" t="s">
        <v>5</v>
      </c>
      <c r="B28" s="5" t="s">
        <v>45</v>
      </c>
      <c r="C28" s="81">
        <v>46113</v>
      </c>
    </row>
    <row r="29" s="3" customFormat="1" ht="16" spans="1:8">
      <c r="A29" s="10" t="s">
        <v>8</v>
      </c>
      <c r="B29" s="11" t="s">
        <v>46</v>
      </c>
      <c r="C29" s="82">
        <v>1800</v>
      </c>
      <c r="D29" s="83"/>
    </row>
    <row r="30" s="3" customFormat="1" ht="16" spans="1:8">
      <c r="A30" s="10" t="s">
        <v>15</v>
      </c>
      <c r="B30" s="11" t="s">
        <v>47</v>
      </c>
      <c r="C30" s="84">
        <v>8.44</v>
      </c>
      <c r="D30" s="83"/>
    </row>
    <row r="31" s="3" customFormat="1" ht="16" spans="1:8">
      <c r="A31" s="10" t="s">
        <v>17</v>
      </c>
      <c r="B31" s="11" t="s">
        <v>48</v>
      </c>
      <c r="C31" s="82">
        <v>650</v>
      </c>
      <c r="D31" s="83"/>
    </row>
    <row r="32" s="3" customFormat="1" ht="16" spans="1:8">
      <c r="A32" s="10" t="s">
        <v>49</v>
      </c>
      <c r="B32" s="11" t="s">
        <v>50</v>
      </c>
      <c r="C32" s="84">
        <v>0.81</v>
      </c>
      <c r="D32" s="83"/>
      <c r="G32" s="25"/>
      <c r="H32" s="25"/>
    </row>
    <row r="33" s="3" customFormat="1" ht="16" spans="1:27">
      <c r="A33" s="10" t="s">
        <v>51</v>
      </c>
      <c r="B33" s="11" t="s">
        <v>52</v>
      </c>
      <c r="C33" s="84">
        <v>0.5</v>
      </c>
      <c r="D33" s="85"/>
      <c r="F33" s="86"/>
      <c r="G33" s="86"/>
    </row>
    <row r="34" s="3" customFormat="1" ht="16" spans="1:27">
      <c r="A34" s="10" t="s">
        <v>19</v>
      </c>
      <c r="B34" s="11" t="s">
        <v>53</v>
      </c>
      <c r="C34" s="84">
        <v>0.2894</v>
      </c>
      <c r="D34" s="83"/>
      <c r="F34" s="25"/>
    </row>
    <row r="35" s="3" customFormat="1" ht="16" spans="1:27">
      <c r="A35" s="10" t="s">
        <v>22</v>
      </c>
      <c r="B35" s="11" t="s">
        <v>54</v>
      </c>
      <c r="C35" s="87">
        <v>1</v>
      </c>
      <c r="D35" s="83"/>
    </row>
    <row r="36" s="3" customFormat="1" ht="16" spans="1:27">
      <c r="A36" s="10" t="s">
        <v>55</v>
      </c>
      <c r="B36" s="22" t="s">
        <v>56</v>
      </c>
      <c r="C36" s="87">
        <v>1488</v>
      </c>
      <c r="D36" s="83"/>
    </row>
    <row r="37" s="3" customFormat="1" ht="16" spans="1:27">
      <c r="A37" s="10" t="s">
        <v>57</v>
      </c>
      <c r="B37" s="11" t="s">
        <v>58</v>
      </c>
      <c r="C37" s="88">
        <v>0.075</v>
      </c>
      <c r="D37" s="89">
        <v>8.44</v>
      </c>
      <c r="E37" s="90">
        <f>7.17-C30</f>
        <v>-1.27</v>
      </c>
      <c r="F37" s="91">
        <f>10.55-C30</f>
        <v>2.11</v>
      </c>
      <c r="K37" s="11" t="s">
        <v>59</v>
      </c>
      <c r="L37" s="11"/>
      <c r="M37" s="11"/>
      <c r="N37" s="11"/>
      <c r="O37" s="11"/>
    </row>
    <row r="38" s="3" customFormat="1" ht="16" spans="1:27">
      <c r="A38" s="10"/>
      <c r="B38" s="11"/>
      <c r="C38" s="4" t="s">
        <v>60</v>
      </c>
      <c r="D38" s="4" t="s">
        <v>61</v>
      </c>
      <c r="E38" s="4" t="s">
        <v>62</v>
      </c>
      <c r="F38" s="4" t="s">
        <v>63</v>
      </c>
      <c r="G38" s="4" t="s">
        <v>64</v>
      </c>
      <c r="K38" s="4" t="s">
        <v>60</v>
      </c>
      <c r="L38" s="4" t="s">
        <v>61</v>
      </c>
      <c r="M38" s="4" t="s">
        <v>62</v>
      </c>
      <c r="N38" s="4" t="s">
        <v>63</v>
      </c>
      <c r="O38" s="4" t="s">
        <v>64</v>
      </c>
    </row>
    <row r="39" s="3" customFormat="1" ht="16" spans="1:27">
      <c r="A39" s="10" t="s">
        <v>65</v>
      </c>
      <c r="B39" s="11" t="s">
        <v>66</v>
      </c>
      <c r="C39" s="92">
        <f t="shared" ref="C39:G39" si="0">SUM(C40:C41)</f>
        <v>166499</v>
      </c>
      <c r="D39" s="92">
        <f t="shared" si="0"/>
        <v>71263.75</v>
      </c>
      <c r="E39" s="92">
        <f t="shared" si="0"/>
        <v>215033.75</v>
      </c>
      <c r="F39" s="92">
        <f t="shared" si="0"/>
        <v>210750.5</v>
      </c>
      <c r="G39" s="93">
        <f t="shared" si="0"/>
        <v>663547</v>
      </c>
      <c r="I39" s="86">
        <f>C34*C35*G41</f>
        <v>123322.6008</v>
      </c>
      <c r="J39" s="3" t="s">
        <v>67</v>
      </c>
      <c r="K39" s="92">
        <f>K41+K40</f>
        <v>166499</v>
      </c>
      <c r="L39" s="92">
        <f>L41+L40</f>
        <v>71263.75</v>
      </c>
      <c r="M39" s="92">
        <f>M41+M40</f>
        <v>215033.75</v>
      </c>
      <c r="N39" s="92">
        <f>N41+N40</f>
        <v>210750.5</v>
      </c>
      <c r="O39" s="94">
        <f>SUM(K39:N39)</f>
        <v>663547</v>
      </c>
    </row>
    <row r="40" s="3" customFormat="1" ht="16" spans="1:27">
      <c r="A40" s="10" t="s">
        <v>68</v>
      </c>
      <c r="B40" s="11" t="s">
        <v>69</v>
      </c>
      <c r="C40" s="92">
        <f>K40/C35</f>
        <v>0</v>
      </c>
      <c r="D40" s="92">
        <f>L40/C35</f>
        <v>11870.75</v>
      </c>
      <c r="E40" s="92">
        <f>M40/C35</f>
        <v>201802.75</v>
      </c>
      <c r="F40" s="92">
        <f>N40/C35</f>
        <v>23741.5</v>
      </c>
      <c r="G40" s="92">
        <f>SUM(C40:F40)</f>
        <v>237415</v>
      </c>
      <c r="H40" s="3">
        <v>209644</v>
      </c>
      <c r="I40" s="3" t="s">
        <v>70</v>
      </c>
      <c r="J40" s="95"/>
      <c r="K40" s="92">
        <f>P40*K43</f>
        <v>0</v>
      </c>
      <c r="L40" s="96">
        <f>P40*L43</f>
        <v>11870.75</v>
      </c>
      <c r="M40" s="92">
        <f>P40*M43</f>
        <v>201802.75</v>
      </c>
      <c r="N40" s="92">
        <f>P40*N43</f>
        <v>23741.5</v>
      </c>
      <c r="O40" s="25">
        <f>SUM(K40:N40)</f>
        <v>237415</v>
      </c>
      <c r="P40" s="97">
        <v>237415</v>
      </c>
    </row>
    <row r="41" s="3" customFormat="1" ht="16" spans="1:27">
      <c r="A41" s="10" t="s">
        <v>71</v>
      </c>
      <c r="B41" s="11" t="s">
        <v>72</v>
      </c>
      <c r="C41" s="98">
        <f>K41/C35</f>
        <v>166499</v>
      </c>
      <c r="D41" s="98">
        <f>L41/C35</f>
        <v>59393</v>
      </c>
      <c r="E41" s="98">
        <f>M41/C35</f>
        <v>13231</v>
      </c>
      <c r="F41" s="98">
        <f>N41/C35</f>
        <v>187009</v>
      </c>
      <c r="G41" s="98">
        <f>SUM(C41:F41)</f>
        <v>426132</v>
      </c>
      <c r="K41" s="99">
        <v>166499</v>
      </c>
      <c r="L41" s="99">
        <v>59393</v>
      </c>
      <c r="M41" s="99">
        <v>13231</v>
      </c>
      <c r="N41" s="99">
        <v>187009</v>
      </c>
      <c r="O41" s="100">
        <f>SUM(K41:N41)</f>
        <v>426132</v>
      </c>
    </row>
    <row r="42" s="3" customFormat="1" ht="16" spans="1:27">
      <c r="A42" s="10" t="s">
        <v>73</v>
      </c>
      <c r="B42" s="11" t="s">
        <v>74</v>
      </c>
      <c r="C42" s="101">
        <v>0</v>
      </c>
      <c r="D42" s="101">
        <v>0</v>
      </c>
      <c r="E42" s="101">
        <v>-1.27</v>
      </c>
      <c r="F42" s="101">
        <v>2.11</v>
      </c>
      <c r="G42" s="102"/>
      <c r="K42" s="101">
        <v>0</v>
      </c>
      <c r="L42" s="101">
        <v>0</v>
      </c>
      <c r="M42" s="101">
        <v>-2.17</v>
      </c>
      <c r="N42" s="101">
        <v>2.17</v>
      </c>
      <c r="O42" s="101"/>
    </row>
    <row r="43" s="3" customFormat="1" ht="16" spans="1:27">
      <c r="A43" s="2"/>
      <c r="B43" s="103" t="s">
        <v>75</v>
      </c>
      <c r="C43" s="104">
        <f>ROUND(G39*100/C29/24/DAY(EOMONTH(C28,0)),0)</f>
        <v>51</v>
      </c>
      <c r="D43" s="104">
        <f>ROUND(G41*100/C29/24/DAY(EOMONTH(C28,0)),0)</f>
        <v>33</v>
      </c>
      <c r="K43" s="105">
        <v>0</v>
      </c>
      <c r="L43" s="105">
        <v>0.05</v>
      </c>
      <c r="M43" s="105">
        <v>0.85</v>
      </c>
      <c r="N43" s="105">
        <v>0.1</v>
      </c>
      <c r="R43" s="106"/>
      <c r="S43" s="106"/>
      <c r="T43" s="106"/>
      <c r="U43" s="106"/>
      <c r="V43" s="106"/>
      <c r="W43" s="106"/>
      <c r="X43" s="106"/>
      <c r="Y43" s="106"/>
      <c r="Z43" s="106"/>
      <c r="AA43" s="106"/>
    </row>
    <row r="44" s="3" customFormat="1" ht="16" spans="1:27">
      <c r="A44" s="2"/>
      <c r="B44" s="11" t="s">
        <v>76</v>
      </c>
      <c r="C44" s="107">
        <f>IF(C43&gt;75,IF(C43&gt;85,IF(C43&gt;92,14.5%,(((C43-85)*1%)+((85-75)*0.75%))),((C43-75)*0.75%)),0)</f>
        <v>0</v>
      </c>
      <c r="D44" s="107">
        <f>IF(D43&gt;75,IF(D43&gt;85,IF(D43&gt;92,14.5%,(((D43-85)*1%)+((85-75)*0.75%))),((D43-75)*0.75%)),0)</f>
        <v>0</v>
      </c>
      <c r="E44" s="108"/>
      <c r="F44" s="109"/>
      <c r="G44" s="110"/>
      <c r="I44" s="25"/>
    </row>
    <row r="45" s="3" customFormat="1" ht="16" spans="1:27">
      <c r="A45" s="2"/>
      <c r="B45" s="22" t="s">
        <v>77</v>
      </c>
      <c r="C45" s="111">
        <v>1488</v>
      </c>
      <c r="E45" s="112"/>
      <c r="F45" s="86"/>
      <c r="G45" s="3" t="s">
        <v>78</v>
      </c>
    </row>
    <row r="46" s="3" customFormat="1" ht="16" spans="1:27">
      <c r="A46" s="2"/>
      <c r="B46" s="11" t="s">
        <v>79</v>
      </c>
      <c r="C46" s="10"/>
      <c r="E46" s="113"/>
      <c r="G46" s="25"/>
      <c r="J46" s="114"/>
      <c r="K46" s="114"/>
      <c r="L46" s="114"/>
      <c r="M46" s="114"/>
      <c r="N46" s="114"/>
      <c r="O46" s="114"/>
      <c r="P46" s="114"/>
    </row>
    <row r="47" s="3" customFormat="1" ht="16" spans="1:27">
      <c r="A47" s="2"/>
      <c r="B47" s="115" t="s">
        <v>80</v>
      </c>
      <c r="C47" s="92">
        <f>IF(G$39&lt;100000,0,IF(G$39&gt;1000000,(1000000-100000),(G$39-100000)))</f>
        <v>563547</v>
      </c>
      <c r="D47" s="92">
        <f>IF(G$41&lt;100000,0,IF(G$41&gt;1000000,(1000000-100000),(G$41-100000)))</f>
        <v>326132</v>
      </c>
      <c r="E47" s="116">
        <f>E42*E41</f>
        <v>-16803.37</v>
      </c>
      <c r="F47" s="3">
        <f>F42*F41</f>
        <v>394588.99</v>
      </c>
      <c r="J47" s="114"/>
      <c r="K47" s="117"/>
      <c r="L47" s="96"/>
      <c r="M47" s="117"/>
      <c r="N47" s="117"/>
      <c r="O47" s="117"/>
      <c r="P47" s="114"/>
    </row>
    <row r="48" s="3" customFormat="1" ht="16" spans="1:27">
      <c r="A48" s="2"/>
      <c r="B48" s="115" t="s">
        <v>81</v>
      </c>
      <c r="C48" s="92">
        <f>IF(G$39&lt;1000000,0,IF(G$39&gt;5000000,(5000000-1000000),(G$39-1000000)))</f>
        <v>0</v>
      </c>
      <c r="D48" s="92">
        <f>IF(G$41&lt;1000000,0,IF(G$41&gt;5000000,(5000000-1000000),(G$41-1000000)))</f>
        <v>0</v>
      </c>
      <c r="I48" s="25"/>
      <c r="J48" s="114"/>
      <c r="K48" s="118"/>
      <c r="L48" s="118"/>
      <c r="M48" s="118"/>
      <c r="N48" s="118"/>
      <c r="O48" s="118"/>
      <c r="P48" s="114"/>
    </row>
    <row r="49" s="3" customFormat="1" ht="16" spans="1:16">
      <c r="A49" s="2"/>
      <c r="B49" s="115" t="s">
        <v>82</v>
      </c>
      <c r="C49" s="92">
        <f>IF(G$39&lt;5000000,0,(G$39-5000000))</f>
        <v>0</v>
      </c>
      <c r="D49" s="92">
        <f>IF(G$41&lt;5000000,0,(G$41-5000000))</f>
        <v>0</v>
      </c>
      <c r="I49" s="25"/>
      <c r="J49" s="114"/>
      <c r="K49" s="118"/>
      <c r="L49" s="118"/>
      <c r="M49" s="118"/>
      <c r="N49" s="118"/>
      <c r="O49" s="118"/>
      <c r="P49" s="114"/>
    </row>
    <row r="50" s="3" customFormat="1" ht="16" spans="1:16">
      <c r="A50" s="2"/>
      <c r="B50" s="11" t="s">
        <v>83</v>
      </c>
      <c r="C50" s="107"/>
      <c r="J50" s="114"/>
      <c r="K50" s="118"/>
      <c r="L50" s="118"/>
      <c r="M50" s="118"/>
      <c r="N50" s="118"/>
      <c r="O50" s="118"/>
      <c r="P50" s="114"/>
    </row>
    <row r="51" s="3" customFormat="1" ht="16" spans="1:16">
      <c r="A51" s="2"/>
      <c r="B51" s="115" t="s">
        <v>80</v>
      </c>
      <c r="C51" s="119">
        <v>0.07</v>
      </c>
      <c r="D51" s="25"/>
      <c r="J51" s="114"/>
      <c r="K51" s="120"/>
      <c r="L51" s="120"/>
      <c r="M51" s="120"/>
      <c r="N51" s="120"/>
      <c r="O51" s="114"/>
      <c r="P51" s="114"/>
    </row>
    <row r="52" s="3" customFormat="1" ht="16" spans="1:16">
      <c r="A52" s="2"/>
      <c r="B52" s="115" t="s">
        <v>81</v>
      </c>
      <c r="C52" s="119">
        <v>0.09</v>
      </c>
      <c r="J52" s="114"/>
      <c r="K52" s="121"/>
      <c r="L52" s="122"/>
      <c r="M52" s="122"/>
      <c r="N52" s="122"/>
      <c r="O52" s="114"/>
      <c r="P52" s="114"/>
    </row>
    <row r="53" s="3" customFormat="1" ht="16" spans="1:16">
      <c r="A53" s="2"/>
      <c r="B53" s="115" t="s">
        <v>82</v>
      </c>
      <c r="C53" s="119">
        <v>0.11</v>
      </c>
      <c r="E53" s="25"/>
      <c r="J53" s="114"/>
      <c r="K53" s="114"/>
      <c r="L53" s="114"/>
      <c r="M53" s="114"/>
      <c r="N53" s="114"/>
      <c r="O53" s="114"/>
      <c r="P53" s="114"/>
    </row>
    <row r="54" s="3" customFormat="1" ht="16" spans="1:16">
      <c r="A54" s="2"/>
      <c r="B54" s="3" t="s">
        <v>84</v>
      </c>
      <c r="C54" s="123"/>
      <c r="E54" s="25"/>
    </row>
    <row r="55" spans="1:16">
      <c r="B55" s="48" t="s">
        <v>85</v>
      </c>
      <c r="C55" s="124">
        <v>564383</v>
      </c>
    </row>
  </sheetData>
  <mergeCells count="5">
    <mergeCell ref="B2:D2"/>
    <mergeCell ref="B6:D6"/>
    <mergeCell ref="B14:D14"/>
    <mergeCell ref="K37:O37"/>
    <mergeCell ref="K46:O4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opLeftCell="B1" workbookViewId="0">
      <pane xSplit="1" ySplit="1" topLeftCell="C12" activePane="bottomRight" state="frozen"/>
      <selection/>
      <selection pane="topRight"/>
      <selection pane="bottomLeft"/>
      <selection pane="bottomRight" activeCell="E9" sqref="E9"/>
    </sheetView>
  </sheetViews>
  <sheetFormatPr defaultColWidth="8.72727272727273" defaultRowHeight="16" outlineLevelCol="6"/>
  <cols>
    <col min="1" max="1" width="8.81818181818182" style="2" customWidth="1"/>
    <col min="2" max="2" width="64" style="3" customWidth="1"/>
    <col min="3" max="3" width="18.3636363636364" style="3" customWidth="1"/>
    <col min="4" max="4" width="18.7272727272727" style="3" customWidth="1"/>
    <col min="5" max="5" width="15.2818181818182" style="3" customWidth="1"/>
    <col min="6" max="6" width="15.1454545454545" style="3" customWidth="1"/>
    <col min="7" max="7" width="15.1454545454545" style="3"/>
    <col min="8" max="8" width="8.72727272727273" style="3"/>
    <col min="9" max="9" width="12.8545454545455" style="3"/>
    <col min="10" max="16384" width="8.72727272727273" style="3"/>
  </cols>
  <sheetData>
    <row r="1" spans="1:7">
      <c r="A1" s="4" t="s">
        <v>0</v>
      </c>
      <c r="B1" s="5" t="s">
        <v>1</v>
      </c>
      <c r="C1" s="6" t="s">
        <v>86</v>
      </c>
      <c r="D1" s="7" t="s">
        <v>87</v>
      </c>
    </row>
    <row r="2" spans="1:7">
      <c r="A2" s="4">
        <v>1</v>
      </c>
      <c r="B2" s="5" t="s">
        <v>44</v>
      </c>
      <c r="C2" s="8"/>
      <c r="D2" s="9"/>
    </row>
    <row r="3" spans="1:7">
      <c r="A3" s="10" t="s">
        <v>5</v>
      </c>
      <c r="B3" s="11" t="s">
        <v>88</v>
      </c>
      <c r="C3" s="12">
        <v>46113</v>
      </c>
      <c r="D3" s="13">
        <f>C3</f>
        <v>46113</v>
      </c>
    </row>
    <row r="4" spans="1:7">
      <c r="A4" s="10" t="s">
        <v>8</v>
      </c>
      <c r="B4" s="11" t="s">
        <v>89</v>
      </c>
      <c r="C4" s="14">
        <f>'Apr 26_Supreme'!G39</f>
        <v>663547</v>
      </c>
      <c r="D4" s="15">
        <f>'Apr 26_Supreme'!G41</f>
        <v>426132</v>
      </c>
    </row>
    <row r="5" spans="1:7">
      <c r="A5" s="10" t="s">
        <v>15</v>
      </c>
      <c r="B5" s="11" t="s">
        <v>90</v>
      </c>
      <c r="C5" s="16">
        <v>0</v>
      </c>
      <c r="D5" s="17">
        <f>'Apr 26_Supreme'!G40</f>
        <v>237415</v>
      </c>
    </row>
    <row r="6" spans="1:7">
      <c r="A6" s="10" t="s">
        <v>17</v>
      </c>
      <c r="B6" s="11" t="s">
        <v>91</v>
      </c>
      <c r="C6" s="14">
        <f>C4+C5</f>
        <v>663547</v>
      </c>
      <c r="D6" s="15">
        <f>D4+D5</f>
        <v>663547</v>
      </c>
    </row>
    <row r="7" spans="1:7">
      <c r="A7" s="10"/>
      <c r="B7" s="11"/>
      <c r="C7" s="18"/>
      <c r="D7" s="9"/>
    </row>
    <row r="8" spans="1:7">
      <c r="A8" s="4">
        <v>2</v>
      </c>
      <c r="B8" s="5" t="s">
        <v>92</v>
      </c>
      <c r="C8" s="6"/>
      <c r="D8" s="7"/>
      <c r="G8" s="19"/>
    </row>
    <row r="9" spans="1:7">
      <c r="A9" s="4" t="s">
        <v>93</v>
      </c>
      <c r="B9" s="20" t="s">
        <v>94</v>
      </c>
      <c r="C9" s="18"/>
      <c r="D9" s="21"/>
    </row>
    <row r="10" spans="1:7">
      <c r="A10" s="10" t="s">
        <v>55</v>
      </c>
      <c r="B10" s="22" t="s">
        <v>95</v>
      </c>
      <c r="C10" s="23">
        <f>'Apr 26_Supreme'!$C$45*'Apr 26_Supreme'!$C$31</f>
        <v>967200</v>
      </c>
      <c r="D10" s="24">
        <f>'Apr 26_Supreme'!$C$45*'Apr 26_Supreme'!$C$31</f>
        <v>967200</v>
      </c>
      <c r="G10" s="25"/>
    </row>
    <row r="11" spans="1:7">
      <c r="A11" s="10" t="s">
        <v>96</v>
      </c>
      <c r="B11" s="22" t="s">
        <v>97</v>
      </c>
      <c r="C11" s="23">
        <f>'Apr 26_Supreme'!$G$39*'Apr 26_Supreme'!$C$32</f>
        <v>537473.07</v>
      </c>
      <c r="D11" s="24">
        <f>'Apr 26_Supreme'!$G$41*'Apr 26_Supreme'!$C$32</f>
        <v>345166.92</v>
      </c>
      <c r="E11" s="25"/>
    </row>
    <row r="12" spans="1:7">
      <c r="A12" s="10" t="s">
        <v>98</v>
      </c>
      <c r="B12" s="22" t="s">
        <v>99</v>
      </c>
      <c r="C12" s="23">
        <f>'Apr 26_Supreme'!$G$39*'Apr 26_Supreme'!$C$30</f>
        <v>5600336.68</v>
      </c>
      <c r="D12" s="24">
        <f>'Apr 26_Supreme'!$G$41*'Apr 26_Supreme'!$C$30</f>
        <v>3596554.08</v>
      </c>
    </row>
    <row r="13" spans="1:7">
      <c r="A13" s="10" t="s">
        <v>100</v>
      </c>
      <c r="B13" s="22" t="s">
        <v>101</v>
      </c>
      <c r="C13" s="23" cm="1">
        <f t="array" ref="C13">SUMPRODUCT('Apr 26_Supreme'!$C$39:$F$39,'Apr 26_Supreme'!$C$42:$F$42)</f>
        <v>171590.6925</v>
      </c>
      <c r="D13" s="26" cm="1">
        <f t="array" ref="D13">SUMPRODUCT('Apr 26_Supreme'!$C$41:$F$41,'Apr 26_Supreme'!$C$42:$F$42)</f>
        <v>377785.62</v>
      </c>
      <c r="F13" s="19"/>
    </row>
    <row r="14" spans="1:7">
      <c r="A14" s="10" t="s">
        <v>102</v>
      </c>
      <c r="B14" s="22" t="s">
        <v>103</v>
      </c>
      <c r="C14" s="23">
        <f>'Apr 26_Supreme'!$G$39*'Apr 26_Supreme'!$C$33</f>
        <v>331773.5</v>
      </c>
      <c r="D14" s="24">
        <f>'Apr 26_Supreme'!$G$41*'Apr 26_Supreme'!$C$33</f>
        <v>213066</v>
      </c>
      <c r="F14" s="19"/>
    </row>
    <row r="15" spans="1:7">
      <c r="A15" s="10" t="s">
        <v>104</v>
      </c>
      <c r="B15" s="22" t="s">
        <v>58</v>
      </c>
      <c r="C15" s="23">
        <f>(SUM(C10:C14)+C20)*'Apr 26_Supreme'!$C$37</f>
        <v>570628.0456875</v>
      </c>
      <c r="D15" s="26">
        <f>(SUM(D10:D14)+D20)*'Apr 26_Supreme'!$C$37</f>
        <v>412482.9465</v>
      </c>
      <c r="F15" s="19"/>
      <c r="G15" s="19"/>
    </row>
    <row r="16" spans="1:7">
      <c r="A16" s="10" t="s">
        <v>105</v>
      </c>
      <c r="B16" s="22" t="s">
        <v>83</v>
      </c>
      <c r="C16" s="23" cm="1">
        <f t="array" ref="C16">-SUMPRODUCT('Apr 26_Supreme'!C47:C49,'Apr 26_Supreme'!$C$51:$C$53)</f>
        <v>-39448.29</v>
      </c>
      <c r="D16" s="26" cm="1">
        <f t="array" ref="D16">-SUMPRODUCT('Apr 26_Supreme'!D47:D49,'Apr 26_Supreme'!$C$51:$C$53)</f>
        <v>-22829.24</v>
      </c>
      <c r="F16" s="19"/>
      <c r="G16" s="25"/>
    </row>
    <row r="17" spans="1:7">
      <c r="A17" s="10" t="s">
        <v>106</v>
      </c>
      <c r="B17" s="22" t="s">
        <v>107</v>
      </c>
      <c r="C17" s="23">
        <f>'Apr 26_Supreme'!$C$34*'Apr 26_Supreme'!$C$35*'Apr 26_Supreme'!$G$39</f>
        <v>192030.5018</v>
      </c>
      <c r="D17" s="24">
        <f>'Apr 26_Supreme'!$C$34*'Apr 26_Supreme'!$C$35*'Apr 26_Supreme'!$G$41</f>
        <v>123322.6008</v>
      </c>
      <c r="F17" s="19"/>
    </row>
    <row r="18" spans="1:7">
      <c r="A18" s="10" t="s">
        <v>108</v>
      </c>
      <c r="B18" s="22" t="s">
        <v>76</v>
      </c>
      <c r="C18" s="23">
        <v>0</v>
      </c>
      <c r="D18" s="24">
        <v>0</v>
      </c>
    </row>
    <row r="19" spans="1:7">
      <c r="A19" s="10" t="s">
        <v>109</v>
      </c>
      <c r="B19" s="22" t="s">
        <v>84</v>
      </c>
      <c r="C19" s="27">
        <f>IF(((C4-'Apr 26_Supreme'!C55)*-0.75*'Apr 26_Supreme'!C35)&gt;0,0,((C4-'Apr 26_Supreme'!C55)*-0.75*'Apr 26_Supreme'!C35))</f>
        <v>-74373</v>
      </c>
      <c r="D19" s="28">
        <f>IF(((D4-'Apr 26_Supreme'!C55)*-0.75*'Apr 26_Supreme'!C35)&gt;0,0,((D4-'Apr 26_Supreme'!C55)*-0.75*'Apr 26_Supreme'!C35))</f>
        <v>0</v>
      </c>
      <c r="F19" s="19"/>
    </row>
    <row r="20" spans="1:7">
      <c r="A20" s="10" t="s">
        <v>110</v>
      </c>
      <c r="B20" s="22" t="s">
        <v>111</v>
      </c>
      <c r="C20" s="29">
        <f>D20</f>
        <v>0</v>
      </c>
      <c r="D20" s="28">
        <f>IF('Apr 26_Supreme'!D36&gt;'Apr 26_Supreme'!C29,(('Apr 26_Supreme'!D36-'Apr 26_Supreme'!C29)*1.5*'Apr 26_Supreme'!D31),0)</f>
        <v>0</v>
      </c>
    </row>
    <row r="21" spans="1:7">
      <c r="A21" s="10" t="s">
        <v>112</v>
      </c>
      <c r="B21" s="22" t="s">
        <v>113</v>
      </c>
      <c r="C21" s="23">
        <v>0</v>
      </c>
      <c r="D21" s="24">
        <v>0</v>
      </c>
    </row>
    <row r="22" spans="1:7">
      <c r="A22" s="10" t="s">
        <v>114</v>
      </c>
      <c r="B22" s="22" t="s">
        <v>115</v>
      </c>
      <c r="C22" s="23">
        <v>0</v>
      </c>
      <c r="D22" s="24">
        <v>609816.75</v>
      </c>
    </row>
    <row r="23" spans="1:7">
      <c r="A23" s="4" t="s">
        <v>116</v>
      </c>
      <c r="B23" s="30" t="s">
        <v>117</v>
      </c>
      <c r="C23" s="31">
        <f>SUM(C10:C22)</f>
        <v>8257211.1999875</v>
      </c>
      <c r="D23" s="32">
        <f>SUM(D10:D22)</f>
        <v>6622565.6773</v>
      </c>
      <c r="F23" s="19"/>
    </row>
    <row r="24" spans="1:7">
      <c r="A24" s="4" t="s">
        <v>118</v>
      </c>
      <c r="B24" s="33" t="s">
        <v>119</v>
      </c>
      <c r="C24" s="23"/>
      <c r="D24" s="34"/>
    </row>
    <row r="25" spans="1:7">
      <c r="A25" s="10"/>
      <c r="B25" s="11" t="s">
        <v>107</v>
      </c>
      <c r="C25" s="23"/>
      <c r="D25" s="24">
        <f>'Apr 26_Supreme'!C34*'Apr 26_Supreme'!C35*'Apr 26_Supreme'!G40</f>
        <v>68707.901</v>
      </c>
    </row>
    <row r="26" spans="1:7">
      <c r="A26" s="10" t="s">
        <v>55</v>
      </c>
      <c r="B26" s="11" t="s">
        <v>97</v>
      </c>
      <c r="C26" s="23">
        <v>0</v>
      </c>
      <c r="D26" s="24">
        <f>'Apr 26_Supreme'!C22</f>
        <v>192306.15</v>
      </c>
    </row>
    <row r="27" spans="1:7">
      <c r="A27" s="10" t="s">
        <v>96</v>
      </c>
      <c r="B27" s="11" t="s">
        <v>120</v>
      </c>
      <c r="C27" s="23">
        <v>0</v>
      </c>
      <c r="D27" s="24">
        <f>'Apr 26_Supreme'!C23</f>
        <v>242163.3</v>
      </c>
    </row>
    <row r="28" spans="1:7">
      <c r="A28" s="10" t="s">
        <v>98</v>
      </c>
      <c r="B28" s="11" t="s">
        <v>121</v>
      </c>
      <c r="C28" s="23">
        <v>0</v>
      </c>
      <c r="D28" s="24">
        <f>'Apr 26_Supreme'!C24</f>
        <v>16500</v>
      </c>
    </row>
    <row r="29" spans="1:7">
      <c r="A29" s="4" t="s">
        <v>100</v>
      </c>
      <c r="B29" s="5" t="s">
        <v>122</v>
      </c>
      <c r="C29" s="23">
        <f>SUM(C26:C28)</f>
        <v>0</v>
      </c>
      <c r="D29" s="34">
        <f>SUM(D25:D28)</f>
        <v>519677.351</v>
      </c>
    </row>
    <row r="30" spans="1:7">
      <c r="A30" s="4" t="s">
        <v>123</v>
      </c>
      <c r="B30" s="5" t="s">
        <v>124</v>
      </c>
      <c r="C30" s="31">
        <f>C29+C23</f>
        <v>8257211.1999875</v>
      </c>
      <c r="D30" s="34">
        <f>D29+D23</f>
        <v>7142243.0283</v>
      </c>
      <c r="E30" s="19"/>
      <c r="F30" s="19"/>
      <c r="G30" s="19"/>
    </row>
    <row r="31" spans="1:7">
      <c r="A31" s="10" t="s">
        <v>125</v>
      </c>
      <c r="B31" s="11" t="s">
        <v>126</v>
      </c>
      <c r="C31" s="35">
        <v>0</v>
      </c>
      <c r="D31" s="34"/>
    </row>
    <row r="32" s="1" customFormat="1" spans="1:7">
      <c r="A32" s="4" t="s">
        <v>125</v>
      </c>
      <c r="B32" s="5" t="s">
        <v>127</v>
      </c>
      <c r="C32" s="31">
        <f>C31+C30</f>
        <v>8257211.1999875</v>
      </c>
      <c r="D32" s="34">
        <f>D31+D30</f>
        <v>7142243.0283</v>
      </c>
      <c r="E32" s="19"/>
    </row>
    <row r="33" spans="1:6">
      <c r="A33" s="10" t="s">
        <v>128</v>
      </c>
      <c r="B33" s="11" t="s">
        <v>129</v>
      </c>
      <c r="C33" s="23"/>
      <c r="D33" s="34">
        <f>$C$32-D32</f>
        <v>1114968.1716875</v>
      </c>
    </row>
    <row r="34" spans="1:6">
      <c r="A34" s="2" t="s">
        <v>130</v>
      </c>
      <c r="B34" s="11" t="s">
        <v>131</v>
      </c>
      <c r="C34" s="23"/>
      <c r="D34" s="34">
        <f>ROUNDUP(('Apr 26_Supreme'!C10/D33),0)</f>
        <v>82</v>
      </c>
    </row>
    <row r="35" ht="16.75" spans="1:6">
      <c r="A35" s="4" t="s">
        <v>125</v>
      </c>
      <c r="B35" s="36" t="s">
        <v>132</v>
      </c>
      <c r="C35" s="37">
        <f>C32/C6</f>
        <v>12.4440487259945</v>
      </c>
      <c r="D35" s="38">
        <f>D32/D6</f>
        <v>10.76373343305</v>
      </c>
      <c r="E35" s="19"/>
    </row>
    <row r="36" spans="1:6">
      <c r="A36" s="39" t="s">
        <v>133</v>
      </c>
      <c r="B36" s="40" t="s">
        <v>134</v>
      </c>
      <c r="C36" s="41"/>
      <c r="D36" s="42">
        <f>C30-D30</f>
        <v>1114968.1716875</v>
      </c>
      <c r="E36" s="43"/>
      <c r="F36" s="19"/>
    </row>
    <row r="37" ht="16.75" spans="1:6">
      <c r="A37" s="39" t="s">
        <v>128</v>
      </c>
      <c r="B37" s="44" t="s">
        <v>135</v>
      </c>
      <c r="C37" s="45"/>
      <c r="D37" s="46">
        <f>D36/C32</f>
        <v>0.135029629820924</v>
      </c>
      <c r="E37" s="47"/>
    </row>
    <row r="38" spans="1:6">
      <c r="D38" s="19"/>
    </row>
    <row r="39" spans="1:6">
      <c r="C39" s="19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Apr 26_Supreme</vt:lpstr>
      <vt:lpstr>Bill After Solar_Apr 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Darda</dc:creator>
  <cp:lastModifiedBy>Pratik Khanorkar</cp:lastModifiedBy>
  <dcterms:created xsi:type="dcterms:W3CDTF">2023-08-21T11:01:00Z</dcterms:created>
  <dcterms:modified xsi:type="dcterms:W3CDTF">2026-05-13T13:24:00Z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DB355822A311450789129775AC4C107C_13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