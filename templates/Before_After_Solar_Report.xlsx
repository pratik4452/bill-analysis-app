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firstSheet="1"/>
  </bookViews>
  <sheets>
    <sheet name="Sheet 1" sheetId="1" r:id="rId1"/>
    <sheet name="Output -Bill After Solar_Apr 2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<sst xmlns="http://schemas.openxmlformats.org/spreadsheetml/2006/main" count="162" uniqueCount="120">
  <si>
    <t>Sr. No.</t>
  </si>
  <si>
    <t>Particulars</t>
  </si>
  <si>
    <t>Input Value</t>
  </si>
  <si>
    <t>Units</t>
  </si>
  <si>
    <t>Remark</t>
  </si>
  <si>
    <t>Solar Generation Capacity</t>
  </si>
  <si>
    <t>kWp</t>
  </si>
  <si>
    <t>Client input</t>
  </si>
  <si>
    <t>kW</t>
  </si>
  <si>
    <t>Solar Supplied unit at Generation Bus Bar</t>
  </si>
  <si>
    <t>3.b</t>
  </si>
  <si>
    <t>Less: Wheeling Loss (7.50%)</t>
  </si>
  <si>
    <t>3.c</t>
  </si>
  <si>
    <t>Less: State Transmission Loss (3.28%)</t>
  </si>
  <si>
    <t>3.d</t>
  </si>
  <si>
    <t>Quantum at buyers periphery</t>
  </si>
  <si>
    <t>4.a</t>
  </si>
  <si>
    <t>Add: Wheeling Charge (0.74)</t>
  </si>
  <si>
    <t>4.b</t>
  </si>
  <si>
    <t>Add: State Transmission Charge (0.8771)</t>
  </si>
  <si>
    <t>From Bill pdf</t>
  </si>
  <si>
    <t>4.c</t>
  </si>
  <si>
    <t>Add: Operating Charge</t>
  </si>
  <si>
    <t>Total Charges</t>
  </si>
  <si>
    <t>Consumption Details</t>
  </si>
  <si>
    <t>a</t>
  </si>
  <si>
    <t>Month</t>
  </si>
  <si>
    <t>b</t>
  </si>
  <si>
    <t>Contract Demand (kVA)</t>
  </si>
  <si>
    <t>c</t>
  </si>
  <si>
    <t>Energy Charges (₹/kVAh)</t>
  </si>
  <si>
    <t>d</t>
  </si>
  <si>
    <t>Demand Charges (₹/kVA)</t>
  </si>
  <si>
    <t>e</t>
  </si>
  <si>
    <t>Wheeling Charges (₹/kVAh)</t>
  </si>
  <si>
    <t>f</t>
  </si>
  <si>
    <t>FAC (₹/kVAh)</t>
  </si>
  <si>
    <t>g</t>
  </si>
  <si>
    <t>Tax on Sales (₹/kVAh)</t>
  </si>
  <si>
    <t>h</t>
  </si>
  <si>
    <t>Power Factor</t>
  </si>
  <si>
    <t>i</t>
  </si>
  <si>
    <t>Maximum Demand (kVA)</t>
  </si>
  <si>
    <t>j</t>
  </si>
  <si>
    <t>Electricity Duty</t>
  </si>
  <si>
    <t>Reference for TOD calculation of Solar Generation</t>
  </si>
  <si>
    <t>Zone A</t>
  </si>
  <si>
    <t>Zone B</t>
  </si>
  <si>
    <t>Zone C</t>
  </si>
  <si>
    <t>Zone D</t>
  </si>
  <si>
    <t>Total</t>
  </si>
  <si>
    <t>k</t>
  </si>
  <si>
    <t>Consumption Before Solar</t>
  </si>
  <si>
    <t>TOD Charges</t>
  </si>
  <si>
    <t>l</t>
  </si>
  <si>
    <t>Solar Units at consumption end</t>
  </si>
  <si>
    <t>From bill pdf</t>
  </si>
  <si>
    <t>TOD SOLAR Generation metre</t>
  </si>
  <si>
    <t>m</t>
  </si>
  <si>
    <t>Billed Consumption after Solar</t>
  </si>
  <si>
    <t>n</t>
  </si>
  <si>
    <t>TOD Rate</t>
  </si>
  <si>
    <t>Load Factor</t>
  </si>
  <si>
    <t>Load Factor Incentive</t>
  </si>
  <si>
    <t>Billed Demand</t>
  </si>
  <si>
    <t>Bulk Consumption Slab</t>
  </si>
  <si>
    <t>(100000-1000000 kWh)</t>
  </si>
  <si>
    <t>(1000000 kWh - 5000000 kWh)</t>
  </si>
  <si>
    <t>(5000000 kWh +)</t>
  </si>
  <si>
    <t>Bulk Consumption Rebate</t>
  </si>
  <si>
    <t>Incremental Consumption Rebate</t>
  </si>
  <si>
    <t>Reference Units</t>
  </si>
  <si>
    <t>Before Solar</t>
  </si>
  <si>
    <t>After Solar - Captive</t>
  </si>
  <si>
    <t>Base month</t>
  </si>
  <si>
    <t>Source 1 - MSEDCL</t>
  </si>
  <si>
    <t>Source 2 - Solar Power Plant</t>
  </si>
  <si>
    <t>Total Consumption</t>
  </si>
  <si>
    <t>Computation of Electricity Bill based on consumption in Apr-26</t>
  </si>
  <si>
    <t>A</t>
  </si>
  <si>
    <t>Bill for MSEDCL Consumption</t>
  </si>
  <si>
    <t>Demand Charges</t>
  </si>
  <si>
    <t>ii</t>
  </si>
  <si>
    <t>Wheeling Charges</t>
  </si>
  <si>
    <t>iii</t>
  </si>
  <si>
    <t>Energy Charges</t>
  </si>
  <si>
    <t>iv</t>
  </si>
  <si>
    <t>TOD Tariff Energy Charges</t>
  </si>
  <si>
    <t>v</t>
  </si>
  <si>
    <t>FAC</t>
  </si>
  <si>
    <t>vi</t>
  </si>
  <si>
    <t>vii</t>
  </si>
  <si>
    <t>viii</t>
  </si>
  <si>
    <t>Tax on Sale</t>
  </si>
  <si>
    <t>ix</t>
  </si>
  <si>
    <t>x</t>
  </si>
  <si>
    <t>xi</t>
  </si>
  <si>
    <t>Charges for Excess Demand</t>
  </si>
  <si>
    <t>xii</t>
  </si>
  <si>
    <t>Tax Collection at Source</t>
  </si>
  <si>
    <t>xiii</t>
  </si>
  <si>
    <t>Debit Bill adjustment</t>
  </si>
  <si>
    <t>xiv</t>
  </si>
  <si>
    <t>Total Bill for MSEDCL Consumption</t>
  </si>
  <si>
    <t>B</t>
  </si>
  <si>
    <t>Bill for Open Access</t>
  </si>
  <si>
    <t>Transmission Charges</t>
  </si>
  <si>
    <t>Operating Charges</t>
  </si>
  <si>
    <t>Total Bill for Open Access</t>
  </si>
  <si>
    <t>C</t>
  </si>
  <si>
    <t>Total MSEDCL Bill</t>
  </si>
  <si>
    <t>D</t>
  </si>
  <si>
    <t>O&amp;M Cost per month</t>
  </si>
  <si>
    <t>Total Cost of power</t>
  </si>
  <si>
    <t>F</t>
  </si>
  <si>
    <t>Net Savings</t>
  </si>
  <si>
    <t>Average Cost of Power</t>
  </si>
  <si>
    <t>E</t>
  </si>
  <si>
    <t>Total Savings</t>
  </si>
  <si>
    <t>% Savings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</si>
</sst>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 &quot;₹&quot;\ * #,##0.00_ ;_ &quot;₹&quot;\ * \-#,##0.00_ ;_ &quot;₹&quot;\ * &quot;-&quot;??_ ;_ @_ "/>
    <numFmt numFmtId="181" formatCode="mmm/yy"/>
    <numFmt numFmtId="182" formatCode="_ * #,##0_ ;_ * \-#,##0_ ;_ * &quot;-&quot;??_ ;_ @_ "/>
    <numFmt numFmtId="183" formatCode="0.0%"/>
    <numFmt numFmtId="184" formatCode="_ &quot;₹&quot;\ * #,##0.0000_ ;_ &quot;₹&quot;\ * \-#,##0.0000_ ;_ &quot;₹&quot;\ * &quot;-&quot;??.00_ ;_ @_ "/>
    <numFmt numFmtId="185" formatCode="_ [$₹-4009]\ * #,##0.00_ ;_ [$₹-4009]\ * \-#,##0.00_ ;_ [$₹-4009]\ * &quot;-&quot;??_ ;_ @_ "/>
    <numFmt numFmtId="186" formatCode="_ &quot;₹&quot;\ * #,##0_ ;_ &quot;₹&quot;\ * \-#,##0_ ;_ &quot;₹&quot;\ * &quot;-&quot;??_ ;_ @_ "/>
    <numFmt numFmtId="187" formatCode="_ * #,##0.00000_ ;_ * \-#,##0.00000_ ;_ * &quot;-&quot;??.00000_ ;_ @_ "/>
    <numFmt numFmtId="188" formatCode="&quot;₹&quot;\ #,##0"/>
    <numFmt numFmtId="189" formatCode="&quot;₹&quot;\ #,##0.00"/>
    <numFmt numFmtId="190" formatCode="&quot;₹&quot;\ #,##0.0000"/>
    <numFmt numFmtId="191" formatCode="_ * #,##0.000_ ;_ * \-#,##0.000_ ;_ * &quot;-&quot;??.000_ ;_ @_ "/>
    <numFmt numFmtId="192" formatCode="_ * #,##0.00_ ;_ * \-#,##0.00_ ;_ * &quot;-&quot;??.00_ ;_ @_ "/>
    <numFmt numFmtId="193" formatCode="_ * #,##0.0_ ;_ * \-#,##0.0_ ;_ * &quot;-&quot;??.0_ ;_ @_ "/>
  </numFmts>
  <fonts count="29">
    <font>
      <sz val="11"/>
      <color theme="1"/>
      <name val="Calibri"/>
      <charset val="134"/>
      <scheme val="minor"/>
    </font>
    <font>
      <b/>
      <sz val="10"/>
      <color theme="1"/>
      <name val="Segoe UI"/>
      <charset val="134"/>
    </font>
    <font>
      <sz val="10"/>
      <color theme="1"/>
      <name val="Segoe UI"/>
      <charset val="134"/>
    </font>
    <font>
      <sz val="10"/>
      <color rgb="FFFF0000"/>
      <name val="Segoe UI"/>
      <charset val="134"/>
    </font>
    <font>
      <sz val="11"/>
      <name val="Segoe UI"/>
      <charset val="134"/>
    </font>
    <font>
      <b/>
      <sz val="11"/>
      <color theme="0"/>
      <name val="Segoe UI"/>
      <charset val="134"/>
    </font>
    <font>
      <sz val="11"/>
      <color theme="1"/>
      <name val="Segoe UI"/>
      <charset val="134"/>
    </font>
    <font>
      <sz val="10"/>
      <name val="Segoe UI"/>
      <charset val="134"/>
    </font>
    <font>
      <b/>
      <sz val="10"/>
      <color rgb="FFFF0000"/>
      <name val="Segoe UI"/>
      <charset val="134"/>
    </font>
    <font>
      <sz val="6"/>
      <color rgb="FF000000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/>
    <xf numFmtId="178" fontId="0" fillId="0" borderId="0">
      <alignment vertical="center"/>
    </xf>
    <xf numFmtId="179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12" borderId="13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14">
      <alignment vertical="center"/>
    </xf>
    <xf numFmtId="0" fontId="16" fillId="0" borderId="14">
      <alignment vertical="center"/>
    </xf>
    <xf numFmtId="0" fontId="17" fillId="0" borderId="15">
      <alignment vertical="center"/>
    </xf>
    <xf numFmtId="0" fontId="17" fillId="0" borderId="0">
      <alignment vertical="center"/>
    </xf>
    <xf numFmtId="0" fontId="18" fillId="13" borderId="16">
      <alignment vertical="center"/>
    </xf>
    <xf numFmtId="0" fontId="19" fillId="14" borderId="17">
      <alignment vertical="center"/>
    </xf>
    <xf numFmtId="0" fontId="20" fillId="14" borderId="16">
      <alignment vertical="center"/>
    </xf>
    <xf numFmtId="0" fontId="21" fillId="15" borderId="18">
      <alignment vertical="center"/>
    </xf>
    <xf numFmtId="0" fontId="22" fillId="0" borderId="19">
      <alignment vertical="center"/>
    </xf>
    <xf numFmtId="0" fontId="23" fillId="0" borderId="2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3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8" fillId="23" borderId="0">
      <alignment vertical="center"/>
    </xf>
    <xf numFmtId="0" fontId="28" fillId="2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8" fillId="34" borderId="0">
      <alignment vertical="center"/>
    </xf>
    <xf numFmtId="0" fontId="28" fillId="35" borderId="0">
      <alignment vertical="center"/>
    </xf>
    <xf numFmtId="0" fontId="27" fillId="36" borderId="0">
      <alignment vertical="center"/>
    </xf>
    <xf numFmtId="0" fontId="27" fillId="37" borderId="0">
      <alignment vertical="center"/>
    </xf>
    <xf numFmtId="0" fontId="28" fillId="38" borderId="0">
      <alignment vertical="center"/>
    </xf>
    <xf numFmtId="0" fontId="28" fillId="39" borderId="0">
      <alignment vertical="center"/>
    </xf>
    <xf numFmtId="0" fontId="27" fillId="40" borderId="0">
      <alignment vertical="center"/>
    </xf>
    <xf numFmtId="176" fontId="0" fillId="0" borderId="0"/>
    <xf numFmtId="176" fontId="0" fillId="0" borderId="0"/>
    <xf numFmtId="176" fontId="0" fillId="0" borderId="0"/>
    <xf numFmtId="180" fontId="0" fillId="0" borderId="0"/>
    <xf numFmtId="0" fontId="0" fillId="0" borderId="0"/>
    <xf numFmtId="0" fontId="0" fillId="0" borderId="0"/>
    <xf numFmtId="9" fontId="0" fillId="0" borderId="0"/>
    <xf numFmtId="9" fontId="0" fillId="0" borderId="0"/>
    <xf numFmtId="9" fontId="0" fillId="0" borderId="0"/>
  </cellStyleXfs>
  <cellXfs count="10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81" fontId="1" fillId="2" borderId="1" xfId="0" applyNumberFormat="1" applyFont="1" applyFill="1" applyBorder="1" applyAlignment="1">
      <alignment vertical="center"/>
    </xf>
    <xf numFmtId="181" fontId="1" fillId="3" borderId="1" xfId="0" applyNumberFormat="1" applyFont="1" applyFill="1" applyBorder="1" applyAlignment="1">
      <alignment vertical="center"/>
    </xf>
    <xf numFmtId="182" fontId="1" fillId="2" borderId="1" xfId="50" applyNumberFormat="1" applyFont="1" applyFill="1" applyBorder="1" applyAlignment="1">
      <alignment vertical="center"/>
    </xf>
    <xf numFmtId="182" fontId="1" fillId="3" borderId="1" xfId="50" applyNumberFormat="1" applyFont="1" applyFill="1" applyBorder="1" applyAlignment="1">
      <alignment vertical="center"/>
    </xf>
    <xf numFmtId="182" fontId="2" fillId="2" borderId="1" xfId="50" applyNumberFormat="1" applyFont="1" applyFill="1" applyBorder="1" applyAlignment="1">
      <alignment vertical="center"/>
    </xf>
    <xf numFmtId="182" fontId="2" fillId="3" borderId="1" xfId="50" applyNumberFormat="1" applyFont="1" applyFill="1" applyBorder="1" applyAlignment="1">
      <alignment vertical="center"/>
    </xf>
    <xf numFmtId="183" fontId="2" fillId="2" borderId="1" xfId="56" applyNumberFormat="1" applyFont="1" applyFill="1" applyBorder="1" applyAlignment="1">
      <alignment vertical="center"/>
    </xf>
    <xf numFmtId="180" fontId="2" fillId="0" borderId="0" xfId="0" applyNumberFormat="1" applyFont="1" applyAlignment="1">
      <alignment vertical="center"/>
    </xf>
    <xf numFmtId="0" fontId="1" fillId="4" borderId="1" xfId="0" applyFont="1" applyFill="1" applyBorder="1" applyAlignment="1">
      <alignment vertical="center"/>
    </xf>
    <xf numFmtId="183" fontId="2" fillId="3" borderId="1" xfId="56" applyNumberFormat="1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180" fontId="2" fillId="2" borderId="1" xfId="52" applyFont="1" applyFill="1" applyBorder="1" applyAlignment="1">
      <alignment vertical="center"/>
    </xf>
    <xf numFmtId="180" fontId="2" fillId="3" borderId="1" xfId="52" applyFont="1" applyFill="1" applyBorder="1" applyAlignment="1">
      <alignment vertical="center"/>
    </xf>
    <xf numFmtId="182" fontId="2" fillId="0" borderId="0" xfId="0" applyNumberFormat="1" applyFont="1" applyAlignment="1">
      <alignment vertical="center"/>
    </xf>
    <xf numFmtId="180" fontId="2" fillId="5" borderId="1" xfId="52" applyFont="1" applyFill="1" applyBorder="1" applyAlignment="1">
      <alignment vertical="center"/>
    </xf>
    <xf numFmtId="180" fontId="2" fillId="6" borderId="1" xfId="52" applyFont="1" applyFill="1" applyBorder="1" applyAlignment="1">
      <alignment vertical="center"/>
    </xf>
    <xf numFmtId="180" fontId="3" fillId="5" borderId="1" xfId="52" applyFont="1" applyFill="1" applyBorder="1" applyAlignment="1">
      <alignment vertical="center"/>
    </xf>
    <xf numFmtId="180" fontId="3" fillId="2" borderId="1" xfId="52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180" fontId="1" fillId="2" borderId="1" xfId="52" applyFont="1" applyFill="1" applyBorder="1" applyAlignment="1">
      <alignment vertical="center"/>
    </xf>
    <xf numFmtId="180" fontId="1" fillId="5" borderId="1" xfId="52" applyFont="1" applyFill="1" applyBorder="1" applyAlignment="1">
      <alignment vertical="center"/>
    </xf>
    <xf numFmtId="0" fontId="1" fillId="4" borderId="1" xfId="0" applyFont="1" applyFill="1" applyBorder="1" applyAlignment="1">
      <alignment horizontal="left" vertical="center"/>
    </xf>
    <xf numFmtId="180" fontId="1" fillId="3" borderId="1" xfId="52" applyFont="1" applyFill="1" applyBorder="1" applyAlignment="1">
      <alignment vertical="center"/>
    </xf>
    <xf numFmtId="180" fontId="2" fillId="2" borderId="1" xfId="0" applyNumberFormat="1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180" fontId="1" fillId="2" borderId="2" xfId="52" applyFont="1" applyFill="1" applyBorder="1" applyAlignment="1">
      <alignment vertical="center"/>
    </xf>
    <xf numFmtId="180" fontId="1" fillId="3" borderId="2" xfId="52" applyFont="1" applyFill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7" borderId="4" xfId="0" applyFont="1" applyFill="1" applyBorder="1" applyAlignment="1">
      <alignment vertical="center"/>
    </xf>
    <xf numFmtId="180" fontId="1" fillId="7" borderId="5" xfId="52" applyFont="1" applyFill="1" applyBorder="1" applyAlignment="1">
      <alignment vertical="center"/>
    </xf>
    <xf numFmtId="180" fontId="1" fillId="7" borderId="6" xfId="52" applyFont="1" applyFill="1" applyBorder="1" applyAlignment="1">
      <alignment vertical="center"/>
    </xf>
    <xf numFmtId="184" fontId="2" fillId="0" borderId="0" xfId="0" applyNumberFormat="1" applyFont="1" applyAlignment="1">
      <alignment vertical="center"/>
    </xf>
    <xf numFmtId="0" fontId="1" fillId="7" borderId="7" xfId="0" applyFont="1" applyFill="1" applyBorder="1" applyAlignment="1">
      <alignment vertical="center"/>
    </xf>
    <xf numFmtId="180" fontId="2" fillId="7" borderId="8" xfId="0" applyNumberFormat="1" applyFont="1" applyFill="1" applyBorder="1" applyAlignment="1">
      <alignment vertical="center"/>
    </xf>
    <xf numFmtId="10" fontId="1" fillId="7" borderId="9" xfId="3" applyNumberFormat="1" applyFont="1" applyFill="1" applyBorder="1" applyAlignment="1">
      <alignment vertical="center"/>
    </xf>
    <xf numFmtId="183" fontId="2" fillId="0" borderId="0" xfId="3" applyNumberFormat="1" applyFont="1" applyAlignment="1">
      <alignment vertical="center"/>
    </xf>
    <xf numFmtId="0" fontId="4" fillId="0" borderId="0" xfId="0" applyFont="1"/>
    <xf numFmtId="185" fontId="4" fillId="0" borderId="0" xfId="0" applyNumberFormat="1" applyFont="1"/>
    <xf numFmtId="0" fontId="5" fillId="8" borderId="0" xfId="0" applyFont="1" applyFill="1"/>
    <xf numFmtId="0" fontId="5" fillId="8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1" xfId="54" applyFont="1" applyBorder="1" applyAlignment="1">
      <alignment horizontal="center" vertical="center"/>
    </xf>
    <xf numFmtId="0" fontId="7" fillId="0" borderId="1" xfId="54" applyFont="1" applyBorder="1" applyAlignment="1">
      <alignment vertical="center" wrapText="1"/>
    </xf>
    <xf numFmtId="0" fontId="4" fillId="9" borderId="1" xfId="0" applyFont="1" applyFill="1" applyBorder="1" applyAlignment="1" applyProtection="1">
      <alignment horizontal="right" vertical="center"/>
      <protection locked="0"/>
    </xf>
    <xf numFmtId="0" fontId="7" fillId="0" borderId="1" xfId="54" applyFont="1" applyBorder="1" applyAlignment="1">
      <alignment horizontal="left" vertical="center" wrapText="1"/>
    </xf>
    <xf numFmtId="182" fontId="7" fillId="10" borderId="1" xfId="50" applyNumberFormat="1" applyFont="1" applyFill="1" applyBorder="1" applyAlignment="1">
      <alignment horizontal="center" vertical="center" wrapText="1"/>
    </xf>
    <xf numFmtId="176" fontId="4" fillId="0" borderId="0" xfId="0" applyNumberFormat="1" applyFont="1"/>
    <xf numFmtId="186" fontId="7" fillId="0" borderId="1" xfId="52" applyNumberFormat="1" applyFont="1" applyFill="1" applyBorder="1" applyAlignment="1">
      <alignment horizontal="center" vertical="center" wrapText="1"/>
    </xf>
    <xf numFmtId="186" fontId="7" fillId="9" borderId="1" xfId="52" applyNumberFormat="1" applyFont="1" applyFill="1" applyBorder="1" applyAlignment="1">
      <alignment horizontal="center" vertical="center" wrapText="1"/>
    </xf>
    <xf numFmtId="187" fontId="4" fillId="0" borderId="0" xfId="0" applyNumberFormat="1" applyFont="1"/>
    <xf numFmtId="182" fontId="4" fillId="0" borderId="0" xfId="0" applyNumberFormat="1" applyFont="1"/>
    <xf numFmtId="186" fontId="7" fillId="10" borderId="1" xfId="52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vertical="center"/>
    </xf>
    <xf numFmtId="181" fontId="1" fillId="9" borderId="1" xfId="0" applyNumberFormat="1" applyFont="1" applyFill="1" applyBorder="1" applyAlignment="1">
      <alignment horizontal="center" vertical="center"/>
    </xf>
    <xf numFmtId="188" fontId="2" fillId="9" borderId="1" xfId="52" applyNumberFormat="1" applyFont="1" applyFill="1" applyBorder="1" applyAlignment="1" applyProtection="1">
      <alignment horizontal="center" vertical="center"/>
      <protection locked="0"/>
    </xf>
    <xf numFmtId="189" fontId="2" fillId="9" borderId="1" xfId="52" applyNumberFormat="1" applyFont="1" applyFill="1" applyBorder="1" applyAlignment="1" applyProtection="1">
      <alignment horizontal="center" vertical="center"/>
      <protection locked="0"/>
    </xf>
    <xf numFmtId="189" fontId="2" fillId="0" borderId="0" xfId="0" applyNumberFormat="1" applyFont="1" applyAlignment="1">
      <alignment vertical="center"/>
    </xf>
    <xf numFmtId="0" fontId="2" fillId="9" borderId="1" xfId="0" applyFont="1" applyFill="1" applyBorder="1" applyAlignment="1" applyProtection="1">
      <alignment horizontal="center" vertical="center"/>
      <protection locked="0"/>
    </xf>
    <xf numFmtId="10" fontId="2" fillId="9" borderId="1" xfId="56" applyNumberFormat="1" applyFont="1" applyFill="1" applyBorder="1" applyAlignment="1" applyProtection="1">
      <alignment horizontal="center" vertical="center"/>
      <protection locked="0"/>
    </xf>
    <xf numFmtId="190" fontId="2" fillId="0" borderId="0" xfId="0" applyNumberFormat="1" applyFont="1" applyAlignment="1">
      <alignment vertical="center"/>
    </xf>
    <xf numFmtId="191" fontId="2" fillId="0" borderId="0" xfId="0" applyNumberFormat="1" applyFont="1" applyAlignment="1">
      <alignment vertical="center"/>
    </xf>
    <xf numFmtId="0" fontId="0" fillId="0" borderId="10" xfId="0" applyBorder="1"/>
    <xf numFmtId="0" fontId="0" fillId="0" borderId="11" xfId="0" applyBorder="1"/>
    <xf numFmtId="182" fontId="2" fillId="0" borderId="1" xfId="50" applyNumberFormat="1" applyFont="1" applyBorder="1" applyAlignment="1">
      <alignment horizontal="center" vertical="center"/>
    </xf>
    <xf numFmtId="182" fontId="2" fillId="10" borderId="1" xfId="50" applyNumberFormat="1" applyFont="1" applyFill="1" applyBorder="1" applyAlignment="1">
      <alignment horizontal="center" vertical="center"/>
    </xf>
    <xf numFmtId="182" fontId="8" fillId="0" borderId="1" xfId="50" applyNumberFormat="1" applyFont="1" applyBorder="1" applyAlignment="1">
      <alignment horizontal="center" vertical="center"/>
    </xf>
    <xf numFmtId="0" fontId="1" fillId="9" borderId="0" xfId="0" applyFont="1" applyFill="1" applyAlignment="1">
      <alignment vertical="center"/>
    </xf>
    <xf numFmtId="182" fontId="1" fillId="0" borderId="0" xfId="0" applyNumberFormat="1" applyFont="1" applyAlignment="1">
      <alignment horizontal="center" vertical="center"/>
    </xf>
    <xf numFmtId="182" fontId="2" fillId="0" borderId="1" xfId="50" applyNumberFormat="1" applyFont="1" applyFill="1" applyBorder="1" applyAlignment="1">
      <alignment horizontal="center" vertical="center"/>
    </xf>
    <xf numFmtId="182" fontId="8" fillId="0" borderId="1" xfId="50" applyNumberFormat="1" applyFont="1" applyFill="1" applyBorder="1" applyAlignment="1">
      <alignment horizontal="center" vertical="center"/>
    </xf>
    <xf numFmtId="189" fontId="2" fillId="0" borderId="1" xfId="52" applyNumberFormat="1" applyFont="1" applyBorder="1" applyAlignment="1">
      <alignment horizontal="center" vertical="center"/>
    </xf>
    <xf numFmtId="192" fontId="2" fillId="10" borderId="1" xfId="5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9" fontId="2" fillId="0" borderId="0" xfId="3" applyFont="1" applyAlignment="1">
      <alignment vertical="center"/>
    </xf>
    <xf numFmtId="183" fontId="2" fillId="0" borderId="1" xfId="56" applyNumberFormat="1" applyFont="1" applyBorder="1" applyAlignment="1">
      <alignment horizontal="center" vertical="center"/>
    </xf>
    <xf numFmtId="188" fontId="2" fillId="0" borderId="0" xfId="0" applyNumberFormat="1" applyFont="1" applyAlignment="1">
      <alignment vertical="center"/>
    </xf>
    <xf numFmtId="192" fontId="2" fillId="0" borderId="0" xfId="0" applyNumberFormat="1" applyFont="1" applyAlignment="1">
      <alignment vertical="center"/>
    </xf>
    <xf numFmtId="193" fontId="2" fillId="0" borderId="0" xfId="0" applyNumberFormat="1" applyFont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0" fontId="9" fillId="0" borderId="0" xfId="0" applyFont="1"/>
    <xf numFmtId="0" fontId="2" fillId="0" borderId="1" xfId="0" applyFont="1" applyBorder="1" applyAlignment="1">
      <alignment horizontal="right" vertical="center"/>
    </xf>
    <xf numFmtId="0" fontId="2" fillId="0" borderId="0" xfId="3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182" fontId="2" fillId="0" borderId="0" xfId="50" applyNumberFormat="1" applyFont="1" applyAlignment="1">
      <alignment horizontal="center" vertical="center"/>
    </xf>
    <xf numFmtId="189" fontId="2" fillId="0" borderId="0" xfId="52" applyNumberFormat="1" applyFont="1" applyAlignment="1">
      <alignment horizontal="center" vertical="center"/>
    </xf>
    <xf numFmtId="183" fontId="2" fillId="0" borderId="0" xfId="56" applyNumberFormat="1" applyFont="1" applyAlignment="1">
      <alignment horizontal="center" vertical="center"/>
    </xf>
    <xf numFmtId="0" fontId="4" fillId="9" borderId="0" xfId="0" applyFont="1" applyFill="1"/>
  </cellXfs>
  <cellStyles count="5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Comma 3" xfId="51"/>
    <cellStyle name="Currency 2" xfId="52"/>
    <cellStyle name="Normal 2" xfId="53"/>
    <cellStyle name="Normal 2 2" xfId="54"/>
    <cellStyle name="Percent 2" xfId="55"/>
    <cellStyle name="Percent 2 2" xfId="56"/>
    <cellStyle name="Percent 3" xfId="5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0"/>
  <sheetViews>
    <sheetView tabSelected="1" zoomScale="70" zoomScaleNormal="70" workbookViewId="0">
      <selection activeCell="C9" sqref="C9"/>
    </sheetView>
  </sheetViews>
  <sheetFormatPr defaultColWidth="9.09090909090909" defaultRowHeight="16.5"/>
  <cols>
    <col min="1" max="1" width="7.45454545454545" style="48" customWidth="1"/>
    <col min="2" max="2" width="42.4545454545455" style="48" customWidth="1"/>
    <col min="3" max="3" width="13.7272727272727" style="48" customWidth="1"/>
    <col min="4" max="4" width="12.5454545454545" style="48" customWidth="1"/>
    <col min="5" max="5" width="15.4272727272727" style="48" customWidth="1"/>
    <col min="6" max="6" width="12.4272727272727" style="48" customWidth="1"/>
    <col min="7" max="7" width="12.2818181818182" style="48" customWidth="1"/>
    <col min="8" max="8" width="24.6727272727273" style="48" customWidth="1"/>
    <col min="9" max="9" width="11.7181818181818" style="49" customWidth="1"/>
    <col min="10" max="10" width="12.5727272727273" style="48" customWidth="1"/>
    <col min="11" max="11" width="13.4545454545455" style="48" customWidth="1"/>
    <col min="12" max="12" width="13.8181818181818" style="48" customWidth="1"/>
    <col min="13" max="13" width="14.6363636363636" style="48" customWidth="1"/>
    <col min="14" max="14" width="11.9090909090909" style="48" customWidth="1"/>
    <col min="15" max="15" width="11.2818181818182" style="48" customWidth="1"/>
    <col min="16" max="16" width="7.14545454545455" style="48" customWidth="1"/>
    <col min="17" max="17" width="12.0909090909091" style="48" customWidth="1"/>
    <col min="18" max="18" width="5.42727272727273" style="48" customWidth="1"/>
    <col min="19" max="19" width="6" style="48" customWidth="1"/>
    <col min="20" max="20" width="7.71818181818182" style="48" customWidth="1"/>
    <col min="21" max="21" width="5.14545454545455" style="48" customWidth="1"/>
    <col min="22" max="23" width="6.14545454545455" style="48" customWidth="1"/>
    <col min="24" max="24" width="8.71818181818182" style="48" customWidth="1"/>
    <col min="25" max="27" width="3.09090909090909" style="48" customWidth="1"/>
    <col min="28" max="16384" width="9.09090909090909" style="48" customWidth="1"/>
  </cols>
  <sheetData>
    <row r="1" spans="1:27">
      <c r="A1" s="50" t="s">
        <v>0</v>
      </c>
      <c r="B1" s="51" t="s">
        <v>1</v>
      </c>
      <c r="C1" s="51" t="s">
        <v>2</v>
      </c>
      <c r="D1" s="51" t="s">
        <v>3</v>
      </c>
      <c r="E1" s="48" t="s">
        <v>4</v>
      </c>
      <c r="F1" s="52"/>
      <c r="G1" s="52"/>
      <c r="H1" s="52"/>
      <c r="I1" s="52"/>
      <c r="J1" s="52"/>
      <c r="K1" s="52"/>
      <c r="L1" s="52"/>
      <c r="M1" s="52"/>
      <c r="Z1"/>
      <c r="AA1"/>
    </row>
    <row r="2" spans="1:27">
      <c r="A2" s="53">
        <v>1</v>
      </c>
      <c r="B2" s="54" t="s">
        <v>5</v>
      </c>
      <c r="C2" s="55">
        <v>4499.83</v>
      </c>
      <c r="D2" s="48" t="s">
        <v>6</v>
      </c>
      <c r="E2" s="48" t="s">
        <v>7</v>
      </c>
    </row>
    <row r="3" spans="1:27">
      <c r="A3" s="53">
        <v>2</v>
      </c>
      <c r="B3" s="54" t="s">
        <v>5</v>
      </c>
      <c r="C3" s="55">
        <v>3300</v>
      </c>
      <c r="D3" s="48" t="s">
        <v>8</v>
      </c>
      <c r="E3" s="48" t="s">
        <v>7</v>
      </c>
    </row>
    <row r="4" spans="1:27">
      <c r="A4" s="53">
        <v>3</v>
      </c>
      <c r="B4" s="56" t="s">
        <v>9</v>
      </c>
      <c r="C4" s="57">
        <f>G25</f>
        <v>237415</v>
      </c>
    </row>
    <row r="5" spans="1:27">
      <c r="A5" s="53" t="s">
        <v>10</v>
      </c>
      <c r="B5" s="56" t="s">
        <v>11</v>
      </c>
      <c r="C5" s="57">
        <f>C4*0.075</f>
        <v>17806.125</v>
      </c>
    </row>
    <row r="6" spans="1:27">
      <c r="A6" s="53" t="s">
        <v>12</v>
      </c>
      <c r="B6" s="56" t="s">
        <v>13</v>
      </c>
      <c r="C6" s="57">
        <f>(C4-C5)*3.28%</f>
        <v>7203.1711</v>
      </c>
    </row>
    <row r="7" spans="1:27">
      <c r="A7" s="53" t="s">
        <v>14</v>
      </c>
      <c r="B7" s="56" t="s">
        <v>15</v>
      </c>
      <c r="C7" s="57">
        <f>C4-C5-C6</f>
        <v>212405.7039</v>
      </c>
      <c r="D7" s="58"/>
    </row>
    <row r="8" spans="1:27">
      <c r="A8" s="53" t="s">
        <v>16</v>
      </c>
      <c r="B8" s="56" t="s">
        <v>17</v>
      </c>
      <c r="C8" s="59">
        <f>G25*0.81</f>
        <v>192306.15</v>
      </c>
    </row>
    <row r="9" spans="1:27">
      <c r="A9" s="53" t="s">
        <v>18</v>
      </c>
      <c r="B9" s="56" t="s">
        <v>19</v>
      </c>
      <c r="C9" s="60">
        <v>242163.3</v>
      </c>
      <c r="D9" s="61"/>
      <c r="E9" s="62" t="s">
        <v>20</v>
      </c>
    </row>
    <row r="10" spans="1:27">
      <c r="A10" s="53" t="s">
        <v>21</v>
      </c>
      <c r="B10" s="56" t="s">
        <v>22</v>
      </c>
      <c r="C10" s="59">
        <f>IF(C3&lt;5000,16500,29830)</f>
        <v>16500</v>
      </c>
    </row>
    <row r="11" ht="16" spans="1:27">
      <c r="A11" s="53">
        <v>5</v>
      </c>
      <c r="B11" s="54" t="s">
        <v>23</v>
      </c>
      <c r="C11" s="63">
        <f>SUM(C8:C10)</f>
        <v>450969.45</v>
      </c>
    </row>
    <row r="12" s="3" customFormat="1" ht="16" customHeight="1" spans="1:27">
      <c r="A12" s="64">
        <v>1</v>
      </c>
      <c r="B12" s="65" t="s">
        <v>24</v>
      </c>
      <c r="C12" s="64"/>
    </row>
    <row r="13" s="3" customFormat="1" ht="16" customHeight="1" spans="1:27">
      <c r="A13" s="10" t="s">
        <v>25</v>
      </c>
      <c r="B13" s="5" t="s">
        <v>26</v>
      </c>
      <c r="C13" s="66"/>
      <c r="E13" s="62" t="s">
        <v>20</v>
      </c>
    </row>
    <row r="14" s="3" customFormat="1" ht="16" customHeight="1" spans="1:27">
      <c r="A14" s="10" t="s">
        <v>27</v>
      </c>
      <c r="B14" s="11" t="s">
        <v>28</v>
      </c>
      <c r="C14" s="67">
        <v>1800</v>
      </c>
      <c r="E14" s="62" t="s">
        <v>20</v>
      </c>
    </row>
    <row r="15" s="3" customFormat="1" ht="16" customHeight="1" spans="1:27">
      <c r="A15" s="10" t="s">
        <v>29</v>
      </c>
      <c r="B15" s="11" t="s">
        <v>30</v>
      </c>
      <c r="C15" s="68">
        <v>8.44</v>
      </c>
      <c r="E15" s="62" t="s">
        <v>20</v>
      </c>
    </row>
    <row r="16" s="3" customFormat="1" ht="16" customHeight="1" spans="1:27">
      <c r="A16" s="10" t="s">
        <v>31</v>
      </c>
      <c r="B16" s="11" t="s">
        <v>32</v>
      </c>
      <c r="C16" s="67">
        <v>650</v>
      </c>
      <c r="E16" s="62" t="s">
        <v>20</v>
      </c>
    </row>
    <row r="17" s="3" customFormat="1" ht="16" customHeight="1" spans="1:27">
      <c r="A17" s="10" t="s">
        <v>33</v>
      </c>
      <c r="B17" s="11" t="s">
        <v>34</v>
      </c>
      <c r="C17" s="68">
        <v>0.81</v>
      </c>
      <c r="E17" s="62" t="s">
        <v>20</v>
      </c>
      <c r="G17" s="25"/>
      <c r="H17" s="25"/>
    </row>
    <row r="18" s="3" customFormat="1" ht="16" customHeight="1" spans="1:27">
      <c r="A18" s="10" t="s">
        <v>35</v>
      </c>
      <c r="B18" s="11" t="s">
        <v>36</v>
      </c>
      <c r="C18" s="68">
        <v>0.5</v>
      </c>
      <c r="D18" s="69"/>
      <c r="E18" s="62" t="s">
        <v>20</v>
      </c>
      <c r="F18" s="69"/>
      <c r="G18" s="69"/>
    </row>
    <row r="19" s="3" customFormat="1" ht="16" customHeight="1" spans="1:27">
      <c r="A19" s="10" t="s">
        <v>37</v>
      </c>
      <c r="B19" s="11" t="s">
        <v>38</v>
      </c>
      <c r="C19" s="68">
        <v>0.2894</v>
      </c>
      <c r="E19" s="62" t="s">
        <v>20</v>
      </c>
      <c r="F19" s="25"/>
    </row>
    <row r="20" s="3" customFormat="1" ht="16" customHeight="1" spans="1:27">
      <c r="A20" s="10" t="s">
        <v>39</v>
      </c>
      <c r="B20" s="11" t="s">
        <v>40</v>
      </c>
      <c r="C20" s="70">
        <v>1</v>
      </c>
      <c r="E20" s="62" t="s">
        <v>20</v>
      </c>
    </row>
    <row r="21" s="3" customFormat="1" ht="16" customHeight="1" spans="1:27">
      <c r="A21" s="10" t="s">
        <v>41</v>
      </c>
      <c r="B21" s="22" t="s">
        <v>42</v>
      </c>
      <c r="C21" s="70">
        <v>1488</v>
      </c>
      <c r="E21" s="62" t="s">
        <v>20</v>
      </c>
    </row>
    <row r="22" s="3" customFormat="1" ht="16" customHeight="1" spans="1:27">
      <c r="A22" s="10" t="s">
        <v>43</v>
      </c>
      <c r="B22" s="11" t="s">
        <v>44</v>
      </c>
      <c r="C22" s="71">
        <v>0.075</v>
      </c>
      <c r="D22" s="2">
        <v>8.44</v>
      </c>
      <c r="E22" s="72">
        <f>7.17-C15</f>
        <v>-1.27</v>
      </c>
      <c r="F22" s="73">
        <f>10.55-C15</f>
        <v>2.11</v>
      </c>
      <c r="K22" s="11" t="s">
        <v>45</v>
      </c>
      <c r="L22" s="74"/>
      <c r="M22" s="74"/>
      <c r="N22" s="74"/>
      <c r="O22" s="75"/>
    </row>
    <row r="23" s="3" customFormat="1" ht="16" customHeight="1" spans="1:27">
      <c r="A23" s="10"/>
      <c r="B23" s="11"/>
      <c r="C23" s="4" t="s">
        <v>46</v>
      </c>
      <c r="D23" s="4" t="s">
        <v>47</v>
      </c>
      <c r="E23" s="4" t="s">
        <v>48</v>
      </c>
      <c r="F23" s="4" t="s">
        <v>49</v>
      </c>
      <c r="G23" s="4" t="s">
        <v>50</v>
      </c>
      <c r="K23" s="4" t="s">
        <v>46</v>
      </c>
      <c r="L23" s="4" t="s">
        <v>47</v>
      </c>
      <c r="M23" s="4" t="s">
        <v>48</v>
      </c>
      <c r="N23" s="4" t="s">
        <v>49</v>
      </c>
      <c r="O23" s="4" t="s">
        <v>50</v>
      </c>
    </row>
    <row r="24" s="3" customFormat="1" ht="16" customHeight="1" spans="1:27">
      <c r="A24" s="10" t="s">
        <v>51</v>
      </c>
      <c r="B24" s="11" t="s">
        <v>52</v>
      </c>
      <c r="C24" s="76">
        <f>SUM(C25:C26)</f>
        <v>166499</v>
      </c>
      <c r="D24" s="76">
        <f>SUM(D25:D26)</f>
        <v>71263.75</v>
      </c>
      <c r="E24" s="76">
        <f>SUM(E25:E26)</f>
        <v>215033.75</v>
      </c>
      <c r="F24" s="76">
        <f>SUM(F25:F26)</f>
        <v>210750.5</v>
      </c>
      <c r="G24" s="77">
        <f>SUM(G25:G26)</f>
        <v>663547</v>
      </c>
      <c r="I24" s="69"/>
      <c r="J24" s="3" t="s">
        <v>53</v>
      </c>
      <c r="K24" s="76">
        <f>K26+K25</f>
        <v>166499</v>
      </c>
      <c r="L24" s="76">
        <f>L26+L25</f>
        <v>71263.75</v>
      </c>
      <c r="M24" s="76">
        <f>M26+M25</f>
        <v>215033.75</v>
      </c>
      <c r="N24" s="76">
        <f>N26+N25</f>
        <v>210750.5</v>
      </c>
      <c r="O24" s="78">
        <f>SUM(K24:N24)</f>
        <v>663547</v>
      </c>
    </row>
    <row r="25" s="3" customFormat="1" ht="16" customHeight="1" spans="1:27">
      <c r="A25" s="10" t="s">
        <v>54</v>
      </c>
      <c r="B25" s="11" t="s">
        <v>55</v>
      </c>
      <c r="C25" s="76">
        <f>K25/C20</f>
        <v>0</v>
      </c>
      <c r="D25" s="76">
        <f>L25/C20</f>
        <v>11870.75</v>
      </c>
      <c r="E25" s="76">
        <f>M25/C20</f>
        <v>201802.75</v>
      </c>
      <c r="F25" s="76">
        <f>N25/C20</f>
        <v>23741.5</v>
      </c>
      <c r="G25" s="76">
        <f>SUM(C25:F25)</f>
        <v>237415</v>
      </c>
      <c r="H25" s="79">
        <v>237415</v>
      </c>
      <c r="I25" s="3" t="s">
        <v>56</v>
      </c>
      <c r="J25" s="3" t="s">
        <v>57</v>
      </c>
      <c r="K25" s="76">
        <f>H25*K28</f>
        <v>0</v>
      </c>
      <c r="L25" s="80">
        <f>H25*L28</f>
        <v>11870.75</v>
      </c>
      <c r="M25" s="76">
        <f>H25*M28</f>
        <v>201802.75</v>
      </c>
      <c r="N25" s="76">
        <f>H25*N28</f>
        <v>23741.5</v>
      </c>
      <c r="O25" s="25">
        <f>SUM(K25:N25)</f>
        <v>237415</v>
      </c>
    </row>
    <row r="26" s="3" customFormat="1" ht="16" customHeight="1" spans="1:27">
      <c r="A26" s="10" t="s">
        <v>58</v>
      </c>
      <c r="B26" s="11" t="s">
        <v>59</v>
      </c>
      <c r="C26" s="76">
        <f>K26/C20</f>
        <v>166499</v>
      </c>
      <c r="D26" s="76">
        <f>L26/C20</f>
        <v>59393</v>
      </c>
      <c r="E26" s="76">
        <f>M26/C20</f>
        <v>13231</v>
      </c>
      <c r="F26" s="76">
        <f>N26/C20</f>
        <v>187009</v>
      </c>
      <c r="G26" s="76">
        <f>SUM(C26:F26)</f>
        <v>426132</v>
      </c>
      <c r="K26" s="81">
        <v>166499</v>
      </c>
      <c r="L26" s="81">
        <v>59393</v>
      </c>
      <c r="M26" s="81">
        <v>13231</v>
      </c>
      <c r="N26" s="81">
        <v>187009</v>
      </c>
      <c r="O26" s="82">
        <f>SUM(K26:N26)</f>
        <v>426132</v>
      </c>
    </row>
    <row r="27" s="3" customFormat="1" ht="16" customHeight="1" spans="1:27">
      <c r="A27" s="10" t="s">
        <v>60</v>
      </c>
      <c r="B27" s="11" t="s">
        <v>61</v>
      </c>
      <c r="C27" s="83">
        <v>0</v>
      </c>
      <c r="D27" s="83">
        <v>0</v>
      </c>
      <c r="E27" s="83">
        <v>-1.27</v>
      </c>
      <c r="F27" s="83">
        <v>2.11</v>
      </c>
      <c r="G27" s="84"/>
      <c r="K27" s="83">
        <v>0</v>
      </c>
      <c r="L27" s="83">
        <v>0</v>
      </c>
      <c r="M27" s="83">
        <v>-2.17</v>
      </c>
      <c r="N27" s="83">
        <v>2.17</v>
      </c>
      <c r="O27" s="83"/>
    </row>
    <row r="28" s="3" customFormat="1" ht="16" customHeight="1" spans="1:27">
      <c r="A28" s="2"/>
      <c r="B28" s="85" t="s">
        <v>62</v>
      </c>
      <c r="C28" s="86">
        <f>ROUND(G24*100/C14/24/DAY(EOMONTH(C13,0)),0)</f>
        <v>50</v>
      </c>
      <c r="D28" s="86">
        <f>ROUND(G26*100/C14/24/DAY(EOMONTH(C13,0)),0)</f>
        <v>32</v>
      </c>
      <c r="K28" s="87">
        <v>0</v>
      </c>
      <c r="L28" s="87">
        <v>0.05</v>
      </c>
      <c r="M28" s="87">
        <v>0.85</v>
      </c>
      <c r="N28" s="87">
        <v>0.1</v>
      </c>
      <c r="R28" s="87"/>
      <c r="S28" s="87"/>
      <c r="T28" s="87"/>
      <c r="U28" s="87"/>
      <c r="V28" s="87"/>
      <c r="W28" s="87"/>
      <c r="X28" s="87"/>
      <c r="Y28" s="87"/>
      <c r="Z28" s="87"/>
      <c r="AA28" s="87"/>
    </row>
    <row r="29" s="3" customFormat="1" ht="16" customHeight="1" spans="1:27">
      <c r="A29" s="2"/>
      <c r="B29" s="11" t="s">
        <v>63</v>
      </c>
      <c r="C29" s="88">
        <f>IF(C28&gt;75,IF(C28&gt;85,IF(C28&gt;92,14.5%,(((C28-85)*1%)+((85-75)*0.75%))),((C28-75)*0.75%)),0)</f>
        <v>0</v>
      </c>
      <c r="D29" s="88">
        <f>IF(D28&gt;75,IF(D28&gt;85,IF(D28&gt;92,14.5%,(((D28-85)*1%)+((85-75)*0.75%))),((D28-75)*0.75%)),0)</f>
        <v>0</v>
      </c>
      <c r="E29" s="89"/>
      <c r="F29" s="90"/>
      <c r="G29" s="91"/>
      <c r="I29" s="25"/>
    </row>
    <row r="30" s="3" customFormat="1" ht="16" customHeight="1" spans="1:27">
      <c r="A30" s="2"/>
      <c r="B30" s="22" t="s">
        <v>64</v>
      </c>
      <c r="C30" s="92">
        <v>1488</v>
      </c>
      <c r="E30" s="62" t="s">
        <v>20</v>
      </c>
      <c r="F30" s="69"/>
    </row>
    <row r="31" s="3" customFormat="1" ht="16" customHeight="1" spans="1:27">
      <c r="A31" s="2"/>
      <c r="B31" s="11" t="s">
        <v>65</v>
      </c>
      <c r="C31" s="10"/>
      <c r="E31" s="93"/>
      <c r="G31" s="25"/>
    </row>
    <row r="32" s="3" customFormat="1" ht="16" customHeight="1" spans="1:27">
      <c r="A32" s="2"/>
      <c r="B32" s="94" t="s">
        <v>66</v>
      </c>
      <c r="C32" s="76">
        <f>IF(G$24&lt;100000,0,IF(G$24&gt;1000000,(1000000-100000),(G$24-100000)))</f>
        <v>563547</v>
      </c>
      <c r="D32" s="76">
        <f>IF(G$26&lt;100000,0,IF(G$26&gt;1000000,(1000000-100000),(G$26-100000)))</f>
        <v>326132</v>
      </c>
      <c r="E32" s="95"/>
      <c r="K32" s="96"/>
      <c r="L32" s="80"/>
      <c r="M32" s="96"/>
      <c r="N32" s="96"/>
      <c r="O32" s="96"/>
    </row>
    <row r="33" s="3" customFormat="1" ht="16" customHeight="1" spans="1:15">
      <c r="A33" s="2"/>
      <c r="B33" s="94" t="s">
        <v>67</v>
      </c>
      <c r="C33" s="76">
        <f>IF(G$24&lt;1000000,0,IF(G$24&gt;5000000,(5000000-1000000),(G$24-1000000)))</f>
        <v>0</v>
      </c>
      <c r="D33" s="76">
        <f>IF(G$26&lt;1000000,0,IF(G$26&gt;5000000,(5000000-1000000),(G$26-1000000)))</f>
        <v>0</v>
      </c>
      <c r="I33" s="25"/>
      <c r="K33" s="97"/>
      <c r="L33" s="97"/>
      <c r="M33" s="97"/>
      <c r="N33" s="97"/>
      <c r="O33" s="97"/>
    </row>
    <row r="34" s="3" customFormat="1" ht="16" customHeight="1" spans="1:15">
      <c r="A34" s="2"/>
      <c r="B34" s="94" t="s">
        <v>68</v>
      </c>
      <c r="C34" s="76">
        <f>IF(G$24&lt;5000000,0,(G$24-5000000))</f>
        <v>0</v>
      </c>
      <c r="D34" s="76">
        <f>IF(G$26&lt;5000000,0,(G$26-5000000))</f>
        <v>0</v>
      </c>
      <c r="I34" s="25"/>
      <c r="K34" s="97"/>
      <c r="L34" s="97"/>
      <c r="M34" s="97"/>
      <c r="N34" s="97"/>
      <c r="O34" s="97"/>
    </row>
    <row r="35" s="3" customFormat="1" ht="16" customHeight="1" spans="1:15">
      <c r="A35" s="2"/>
      <c r="B35" s="11" t="s">
        <v>69</v>
      </c>
      <c r="C35" s="88"/>
      <c r="K35" s="97"/>
      <c r="L35" s="97"/>
      <c r="M35" s="97"/>
      <c r="N35" s="97"/>
      <c r="O35" s="97"/>
    </row>
    <row r="36" s="3" customFormat="1" ht="16" customHeight="1" spans="1:15">
      <c r="A36" s="2"/>
      <c r="B36" s="94" t="s">
        <v>66</v>
      </c>
      <c r="C36" s="11">
        <v>0.07</v>
      </c>
      <c r="D36" s="25"/>
      <c r="K36" s="98"/>
      <c r="L36" s="98"/>
      <c r="M36" s="98"/>
      <c r="N36" s="98"/>
    </row>
    <row r="37" s="3" customFormat="1" ht="16" customHeight="1" spans="1:15">
      <c r="A37" s="2"/>
      <c r="B37" s="94" t="s">
        <v>67</v>
      </c>
      <c r="C37" s="11">
        <v>0.09</v>
      </c>
      <c r="K37" s="87"/>
      <c r="L37" s="87"/>
      <c r="M37" s="87"/>
      <c r="N37" s="87"/>
    </row>
    <row r="38" s="3" customFormat="1" ht="16" customHeight="1" spans="1:15">
      <c r="A38" s="2"/>
      <c r="B38" s="94" t="s">
        <v>68</v>
      </c>
      <c r="C38" s="11">
        <v>0.11</v>
      </c>
      <c r="E38" s="25"/>
    </row>
    <row r="39" s="3" customFormat="1" ht="16" customHeight="1" spans="1:15">
      <c r="A39" s="2"/>
      <c r="B39" s="3" t="s">
        <v>70</v>
      </c>
      <c r="C39" s="99"/>
      <c r="E39" s="25"/>
    </row>
    <row r="40" spans="1:15">
      <c r="B40" s="48" t="s">
        <v>71</v>
      </c>
      <c r="C40" s="100">
        <v>564383</v>
      </c>
      <c r="E40" s="62" t="s">
        <v>20</v>
      </c>
    </row>
  </sheetData>
  <mergeCells count="2">
    <mergeCell ref="K22:O22"/>
    <mergeCell ref="K31:O3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zoomScale="85" zoomScaleNormal="85" topLeftCell="B1" workbookViewId="0">
      <pane xSplit="1" ySplit="1" topLeftCell="C2" activePane="bottomRight" state="frozen"/>
      <selection/>
      <selection pane="topRight"/>
      <selection pane="bottomLeft"/>
      <selection pane="bottomRight" activeCell="E13" sqref="E13"/>
    </sheetView>
  </sheetViews>
  <sheetFormatPr defaultColWidth="8.72727272727273" defaultRowHeight="16" outlineLevelCol="6"/>
  <cols>
    <col min="1" max="1" width="8.81818181818182" style="2" customWidth="1"/>
    <col min="2" max="2" width="64" style="3" customWidth="1"/>
    <col min="3" max="3" width="18.3636363636364" style="3" customWidth="1"/>
    <col min="4" max="4" width="18.7272727272727" style="3" customWidth="1"/>
    <col min="5" max="5" width="15.2818181818182" style="3" customWidth="1"/>
    <col min="6" max="7" width="15.1454545454545" style="3" customWidth="1"/>
    <col min="8" max="8" width="8.72727272727273" style="3" customWidth="1"/>
    <col min="9" max="9" width="12.8545454545455" style="3" customWidth="1"/>
    <col min="10" max="16384" width="8.72727272727273" style="3" customWidth="1"/>
  </cols>
  <sheetData>
    <row r="1" spans="1:7">
      <c r="A1" s="4" t="s">
        <v>0</v>
      </c>
      <c r="B1" s="5" t="s">
        <v>1</v>
      </c>
      <c r="C1" s="6" t="s">
        <v>72</v>
      </c>
      <c r="D1" s="7" t="s">
        <v>73</v>
      </c>
      <c r="E1" s="2"/>
    </row>
    <row r="2" spans="1:7">
      <c r="A2" s="4">
        <v>1</v>
      </c>
      <c r="B2" s="5" t="s">
        <v>24</v>
      </c>
      <c r="C2" s="8"/>
      <c r="D2" s="9"/>
    </row>
    <row r="3" spans="1:7">
      <c r="A3" s="10" t="s">
        <v>25</v>
      </c>
      <c r="B3" s="11" t="s">
        <v>74</v>
      </c>
      <c r="C3" s="12">
        <v>46113</v>
      </c>
      <c r="D3" s="13">
        <f>C3</f>
        <v>46113</v>
      </c>
      <c r="E3" s="2"/>
    </row>
    <row r="4" spans="1:7">
      <c r="A4" s="10" t="s">
        <v>27</v>
      </c>
      <c r="B4" s="11" t="s">
        <v>75</v>
      </c>
      <c r="C4" s="14">
        <f>'Sheet 1'!G24</f>
        <v>663547</v>
      </c>
      <c r="D4" s="15">
        <f>'Sheet 1'!G26</f>
        <v>426132</v>
      </c>
    </row>
    <row r="5" spans="1:7">
      <c r="A5" s="10" t="s">
        <v>29</v>
      </c>
      <c r="B5" s="11" t="s">
        <v>76</v>
      </c>
      <c r="C5" s="16">
        <v>0</v>
      </c>
      <c r="D5" s="17">
        <f>'Sheet 1'!G25</f>
        <v>237415</v>
      </c>
    </row>
    <row r="6" spans="1:7">
      <c r="A6" s="10" t="s">
        <v>31</v>
      </c>
      <c r="B6" s="11" t="s">
        <v>77</v>
      </c>
      <c r="C6" s="14">
        <f>C4+C5</f>
        <v>663547</v>
      </c>
      <c r="D6" s="15">
        <f>D4+D5</f>
        <v>663547</v>
      </c>
    </row>
    <row r="7" spans="1:7">
      <c r="A7" s="10"/>
      <c r="B7" s="11"/>
      <c r="C7" s="18"/>
      <c r="D7" s="9"/>
    </row>
    <row r="8" spans="1:7">
      <c r="A8" s="4">
        <v>2</v>
      </c>
      <c r="B8" s="5" t="s">
        <v>78</v>
      </c>
      <c r="C8" s="6"/>
      <c r="D8" s="7"/>
      <c r="G8" s="19"/>
    </row>
    <row r="9" spans="1:7">
      <c r="A9" s="4" t="s">
        <v>79</v>
      </c>
      <c r="B9" s="20" t="s">
        <v>80</v>
      </c>
      <c r="C9" s="18"/>
      <c r="D9" s="21"/>
    </row>
    <row r="10" spans="1:7">
      <c r="A10" s="10" t="s">
        <v>41</v>
      </c>
      <c r="B10" s="22" t="s">
        <v>81</v>
      </c>
      <c r="C10" s="23">
        <f>'Sheet 1'!$C$30*'Sheet 1'!$C$16</f>
        <v>967200</v>
      </c>
      <c r="D10" s="24">
        <f>'Sheet 1'!$C$30*'Sheet 1'!$C$16</f>
        <v>967200</v>
      </c>
      <c r="G10" s="25"/>
    </row>
    <row r="11" spans="1:7">
      <c r="A11" s="10" t="s">
        <v>82</v>
      </c>
      <c r="B11" s="22" t="s">
        <v>83</v>
      </c>
      <c r="C11" s="23">
        <f>'Sheet 1'!$G$24*'Sheet 1'!$C$17</f>
        <v>537473.07</v>
      </c>
      <c r="D11" s="24">
        <f>'Sheet 1'!$G$26*'Sheet 1'!$C$17</f>
        <v>345166.92</v>
      </c>
      <c r="E11" s="25"/>
    </row>
    <row r="12" spans="1:7">
      <c r="A12" s="10" t="s">
        <v>84</v>
      </c>
      <c r="B12" s="22" t="s">
        <v>85</v>
      </c>
      <c r="C12" s="23">
        <f>'Sheet 1'!$G$24*'Sheet 1'!$C$15</f>
        <v>5600336.68</v>
      </c>
      <c r="D12" s="24">
        <f>'Sheet 1'!$G$26*'Sheet 1'!$C$15</f>
        <v>3596554.08</v>
      </c>
    </row>
    <row r="13" spans="1:7">
      <c r="A13" s="10" t="s">
        <v>86</v>
      </c>
      <c r="B13" s="22" t="s">
        <v>87</v>
      </c>
      <c r="C13" s="23">
        <f t="array" ref="C13">SUMPRODUCT('Sheet 1'!$C$24:$F$24,'Sheet 1'!$C$27:$F$27)</f>
        <v>171590.6925</v>
      </c>
      <c r="D13" s="26">
        <f t="array" ref="D13">SUMPRODUCT('Sheet 1'!$C$26:$F$26,'Sheet 1'!$C$27:$F$27)</f>
        <v>377785.62</v>
      </c>
      <c r="F13" s="19"/>
    </row>
    <row r="14" spans="1:7">
      <c r="A14" s="10" t="s">
        <v>88</v>
      </c>
      <c r="B14" s="22" t="s">
        <v>89</v>
      </c>
      <c r="C14" s="23">
        <f>'Sheet 1'!$G$24*'Sheet 1'!$C$18</f>
        <v>331773.5</v>
      </c>
      <c r="D14" s="24">
        <f>'Sheet 1'!$G$26*'Sheet 1'!$C$18</f>
        <v>213066</v>
      </c>
      <c r="F14" s="19"/>
    </row>
    <row r="15" spans="1:7">
      <c r="A15" s="10" t="s">
        <v>90</v>
      </c>
      <c r="B15" s="22" t="s">
        <v>44</v>
      </c>
      <c r="C15" s="23">
        <f>(SUM(C10:C14)+C20)*'Sheet 1'!$C$22</f>
        <v>570628.0456875</v>
      </c>
      <c r="D15" s="26">
        <f>(SUM(D10:D14)+D20)*'Sheet 1'!$C$22</f>
        <v>412482.9465</v>
      </c>
      <c r="F15" s="19"/>
      <c r="G15" s="19"/>
    </row>
    <row r="16" spans="1:7">
      <c r="A16" s="10" t="s">
        <v>91</v>
      </c>
      <c r="B16" s="22" t="s">
        <v>69</v>
      </c>
      <c r="C16" s="23">
        <f t="array" ref="C16">-SUMPRODUCT('Sheet 1'!C32:C34,'Sheet 1'!$C$36:$C$38)</f>
        <v>-39448.29</v>
      </c>
      <c r="D16" s="26">
        <f t="array" ref="D16">-SUMPRODUCT('Sheet 1'!D32:D34,'Sheet 1'!$C$36:$C$38)</f>
        <v>-22829.24</v>
      </c>
      <c r="F16" s="19"/>
      <c r="G16" s="25"/>
    </row>
    <row r="17" spans="1:7">
      <c r="A17" s="10" t="s">
        <v>92</v>
      </c>
      <c r="B17" s="22" t="s">
        <v>93</v>
      </c>
      <c r="C17" s="23">
        <f>'Sheet 1'!$C$19*'Sheet 1'!$C$20*'Sheet 1'!$G$24</f>
        <v>192030.5018</v>
      </c>
      <c r="D17" s="24">
        <f>'Sheet 1'!$C$19*'Sheet 1'!$C$20*'Sheet 1'!$G$26</f>
        <v>123322.6008</v>
      </c>
      <c r="F17" s="19"/>
    </row>
    <row r="18" spans="1:7">
      <c r="A18" s="10" t="s">
        <v>94</v>
      </c>
      <c r="B18" s="22" t="s">
        <v>63</v>
      </c>
      <c r="C18" s="23">
        <v>0</v>
      </c>
      <c r="D18" s="24">
        <v>0</v>
      </c>
    </row>
    <row r="19" spans="1:7">
      <c r="A19" s="10" t="s">
        <v>95</v>
      </c>
      <c r="B19" s="22" t="s">
        <v>70</v>
      </c>
      <c r="C19" s="27">
        <f>IF(((C4-'Sheet 1'!C40)*-0.75*'Sheet 1'!C20)&gt;0,0,((C4-'Sheet 1'!C40)*-0.75*'Sheet 1'!C20))</f>
        <v>-74373</v>
      </c>
      <c r="D19" s="28">
        <f>IF(((D4-'Sheet 1'!C40)*-0.75*'Sheet 1'!C20)&gt;0,0,((D4-'Sheet 1'!C40)*-0.75*'Sheet 1'!C20))</f>
        <v>0</v>
      </c>
      <c r="F19" s="19"/>
    </row>
    <row r="20" spans="1:7">
      <c r="A20" s="10" t="s">
        <v>96</v>
      </c>
      <c r="B20" s="22" t="s">
        <v>97</v>
      </c>
      <c r="C20" s="29">
        <f>D20</f>
        <v>0</v>
      </c>
      <c r="D20" s="28">
        <f>IF('Sheet 1'!D21&gt;'Sheet 1'!C14,(('Sheet 1'!D21-'Sheet 1'!C14)*1.5*'Sheet 1'!D16),0)</f>
        <v>0</v>
      </c>
    </row>
    <row r="21" spans="1:7">
      <c r="A21" s="10" t="s">
        <v>98</v>
      </c>
      <c r="B21" s="22" t="s">
        <v>99</v>
      </c>
      <c r="C21" s="23">
        <v>0</v>
      </c>
      <c r="D21" s="24">
        <v>0</v>
      </c>
    </row>
    <row r="22" spans="1:7">
      <c r="A22" s="10" t="s">
        <v>100</v>
      </c>
      <c r="B22" s="22" t="s">
        <v>101</v>
      </c>
      <c r="C22" s="23">
        <v>0</v>
      </c>
      <c r="D22" s="24">
        <v>609816.75</v>
      </c>
    </row>
    <row r="23" spans="1:7">
      <c r="A23" s="4" t="s">
        <v>102</v>
      </c>
      <c r="B23" s="30" t="s">
        <v>103</v>
      </c>
      <c r="C23" s="31">
        <f>SUM(C10:C22)</f>
        <v>8257211.1999875</v>
      </c>
      <c r="D23" s="32">
        <f>SUM(D10:D22)</f>
        <v>6622565.6773</v>
      </c>
      <c r="F23" s="19"/>
    </row>
    <row r="24" spans="1:7">
      <c r="A24" s="4" t="s">
        <v>104</v>
      </c>
      <c r="B24" s="33" t="s">
        <v>105</v>
      </c>
      <c r="C24" s="23"/>
      <c r="D24" s="34"/>
    </row>
    <row r="25" spans="1:7">
      <c r="A25" s="10"/>
      <c r="B25" s="11" t="s">
        <v>93</v>
      </c>
      <c r="C25" s="23"/>
      <c r="D25" s="24">
        <f>'Sheet 1'!C19*'Sheet 1'!C20*'Sheet 1'!G25</f>
        <v>68707.901</v>
      </c>
    </row>
    <row r="26" spans="1:7">
      <c r="A26" s="10" t="s">
        <v>41</v>
      </c>
      <c r="B26" s="11" t="s">
        <v>83</v>
      </c>
      <c r="C26" s="23">
        <v>0</v>
      </c>
      <c r="D26" s="24">
        <f>'Sheet 1'!C8</f>
        <v>192306.15</v>
      </c>
    </row>
    <row r="27" spans="1:7">
      <c r="A27" s="10" t="s">
        <v>82</v>
      </c>
      <c r="B27" s="11" t="s">
        <v>106</v>
      </c>
      <c r="C27" s="23">
        <v>0</v>
      </c>
      <c r="D27" s="24">
        <f>'Sheet 1'!C9</f>
        <v>242163.3</v>
      </c>
    </row>
    <row r="28" spans="1:7">
      <c r="A28" s="10" t="s">
        <v>84</v>
      </c>
      <c r="B28" s="11" t="s">
        <v>107</v>
      </c>
      <c r="C28" s="23">
        <v>0</v>
      </c>
      <c r="D28" s="24">
        <f>'Sheet 1'!C10</f>
        <v>16500</v>
      </c>
    </row>
    <row r="29" spans="1:7">
      <c r="A29" s="4" t="s">
        <v>86</v>
      </c>
      <c r="B29" s="5" t="s">
        <v>108</v>
      </c>
      <c r="C29" s="23">
        <f>SUM(C26:C28)</f>
        <v>0</v>
      </c>
      <c r="D29" s="34">
        <f>SUM(D25:D28)</f>
        <v>519677.351</v>
      </c>
    </row>
    <row r="30" spans="1:7">
      <c r="A30" s="4" t="s">
        <v>109</v>
      </c>
      <c r="B30" s="5" t="s">
        <v>110</v>
      </c>
      <c r="C30" s="31">
        <f>C29+C23</f>
        <v>8257211.1999875</v>
      </c>
      <c r="D30" s="34">
        <f>D29+D23</f>
        <v>7142243.0283</v>
      </c>
      <c r="E30" s="19"/>
      <c r="F30" s="19"/>
      <c r="G30" s="19"/>
    </row>
    <row r="31" spans="1:7">
      <c r="A31" s="10" t="s">
        <v>111</v>
      </c>
      <c r="B31" s="11" t="s">
        <v>112</v>
      </c>
      <c r="C31" s="35">
        <v>0</v>
      </c>
      <c r="D31" s="34"/>
    </row>
    <row r="32" s="1" customFormat="1" spans="1:7">
      <c r="A32" s="4" t="s">
        <v>111</v>
      </c>
      <c r="B32" s="5" t="s">
        <v>113</v>
      </c>
      <c r="C32" s="31">
        <f>C31+C30</f>
        <v>8257211.1999875</v>
      </c>
      <c r="D32" s="34">
        <f>D31+D30</f>
        <v>7142243.0283</v>
      </c>
      <c r="E32" s="19"/>
    </row>
    <row r="33" spans="1:6">
      <c r="A33" s="10" t="s">
        <v>114</v>
      </c>
      <c r="B33" s="11" t="s">
        <v>115</v>
      </c>
      <c r="C33" s="23"/>
      <c r="D33" s="34">
        <f>$C$32-D32</f>
        <v>1114968.1716875</v>
      </c>
    </row>
    <row r="34" ht="16.75" customHeight="1" spans="1:6">
      <c r="A34" s="4" t="s">
        <v>111</v>
      </c>
      <c r="B34" s="36" t="s">
        <v>116</v>
      </c>
      <c r="C34" s="37">
        <f>C32/C6</f>
        <v>12.4440487259945</v>
      </c>
      <c r="D34" s="38">
        <f>D32/D6</f>
        <v>10.76373343305</v>
      </c>
      <c r="E34" s="19"/>
    </row>
    <row r="35" spans="1:6">
      <c r="A35" s="39" t="s">
        <v>117</v>
      </c>
      <c r="B35" s="40" t="s">
        <v>118</v>
      </c>
      <c r="C35" s="41"/>
      <c r="D35" s="42">
        <f>C30-D30</f>
        <v>1114968.1716875</v>
      </c>
      <c r="E35" s="43"/>
      <c r="F35" s="19"/>
    </row>
    <row r="36" ht="16.75" customHeight="1" spans="1:6">
      <c r="A36" s="39" t="s">
        <v>114</v>
      </c>
      <c r="B36" s="44" t="s">
        <v>119</v>
      </c>
      <c r="C36" s="45"/>
      <c r="D36" s="46">
        <f>D35/C32</f>
        <v>0.135029629820924</v>
      </c>
      <c r="E36" s="47"/>
    </row>
    <row r="37" spans="1:6">
      <c r="D37" s="19"/>
    </row>
    <row r="38" spans="1:6">
      <c r="C38" s="19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 1</vt:lpstr>
      <vt:lpstr>Output -Bill After Solar_Apr 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Darda</dc:creator>
  <cp:lastModifiedBy>Pratik Khanorkar</cp:lastModifiedBy>
  <dcterms:created xsi:type="dcterms:W3CDTF">2023-08-21T11:01:00Z</dcterms:created>
  <dcterms:modified xsi:type="dcterms:W3CDTF">2026-05-14T06:38:39Z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DB355822A311450789129775AC4C107C_13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